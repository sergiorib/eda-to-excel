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2364bdb7555e539/Documentos/GitHub/eda-to-excel/config/"/>
    </mc:Choice>
  </mc:AlternateContent>
  <xr:revisionPtr revIDLastSave="29" documentId="11_DD9AAB8999319E6705EA2083E01E3C05B582ECD2" xr6:coauthVersionLast="47" xr6:coauthVersionMax="47" xr10:uidLastSave="{10E2EA84-8575-42A2-A59F-76D83B5404AC}"/>
  <bookViews>
    <workbookView xWindow="660" yWindow="710" windowWidth="14400" windowHeight="7270" xr2:uid="{00000000-000D-0000-FFFF-FFFF00000000}"/>
  </bookViews>
  <sheets>
    <sheet name="tables" sheetId="1" r:id="rId1"/>
    <sheet name="fields" sheetId="2" r:id="rId2"/>
  </sheets>
  <calcPr calcId="191029"/>
</workbook>
</file>

<file path=xl/calcChain.xml><?xml version="1.0" encoding="utf-8"?>
<calcChain xmlns="http://schemas.openxmlformats.org/spreadsheetml/2006/main">
  <c r="AY4" i="2" l="1"/>
  <c r="AY5" i="2"/>
  <c r="AY6" i="2"/>
  <c r="AY7" i="2"/>
  <c r="AY8" i="2"/>
  <c r="AY9" i="2"/>
  <c r="AY10" i="2"/>
  <c r="AY11" i="2"/>
  <c r="AY12" i="2"/>
  <c r="AY13" i="2"/>
  <c r="AY14" i="2"/>
  <c r="AY15" i="2"/>
  <c r="AY3" i="2"/>
  <c r="M3" i="1"/>
  <c r="M4" i="1"/>
  <c r="M2" i="1"/>
  <c r="K3" i="1"/>
  <c r="K4" i="1"/>
  <c r="K2" i="1"/>
  <c r="AN4" i="2"/>
  <c r="AN5" i="2"/>
  <c r="AN6" i="2"/>
  <c r="AN7" i="2"/>
  <c r="AN8" i="2"/>
  <c r="AN9" i="2"/>
  <c r="AN10" i="2"/>
  <c r="AN11" i="2"/>
  <c r="AN12" i="2"/>
  <c r="AN13" i="2"/>
  <c r="AN14" i="2"/>
  <c r="AN15" i="2"/>
  <c r="AN3" i="2"/>
  <c r="AW15" i="2"/>
  <c r="AU15" i="2"/>
  <c r="AS15" i="2"/>
  <c r="AK15" i="2"/>
  <c r="AE15" i="2"/>
  <c r="AC15" i="2"/>
  <c r="AA15" i="2"/>
  <c r="Y15" i="2"/>
  <c r="W15" i="2"/>
  <c r="U15" i="2"/>
  <c r="AW14" i="2"/>
  <c r="AU14" i="2"/>
  <c r="AS14" i="2"/>
  <c r="AK14" i="2"/>
  <c r="AE14" i="2"/>
  <c r="AC14" i="2"/>
  <c r="AA14" i="2"/>
  <c r="Y14" i="2"/>
  <c r="W14" i="2"/>
  <c r="U14" i="2"/>
  <c r="AW13" i="2"/>
  <c r="AU13" i="2"/>
  <c r="AS13" i="2"/>
  <c r="AK13" i="2"/>
  <c r="AE13" i="2"/>
  <c r="AC13" i="2"/>
  <c r="AA13" i="2"/>
  <c r="Y13" i="2"/>
  <c r="W13" i="2"/>
  <c r="U13" i="2"/>
  <c r="AW12" i="2"/>
  <c r="AU12" i="2"/>
  <c r="AS12" i="2"/>
  <c r="AK12" i="2"/>
  <c r="AE12" i="2"/>
  <c r="AC12" i="2"/>
  <c r="AA12" i="2"/>
  <c r="Y12" i="2"/>
  <c r="W12" i="2"/>
  <c r="U12" i="2"/>
  <c r="AW11" i="2"/>
  <c r="AU11" i="2"/>
  <c r="AS11" i="2"/>
  <c r="AK11" i="2"/>
  <c r="AE11" i="2"/>
  <c r="AC11" i="2"/>
  <c r="AA11" i="2"/>
  <c r="Y11" i="2"/>
  <c r="W11" i="2"/>
  <c r="U11" i="2"/>
  <c r="AW10" i="2"/>
  <c r="AU10" i="2"/>
  <c r="AS10" i="2"/>
  <c r="AK10" i="2"/>
  <c r="AE10" i="2"/>
  <c r="AC10" i="2"/>
  <c r="AA10" i="2"/>
  <c r="Y10" i="2"/>
  <c r="W10" i="2"/>
  <c r="U10" i="2"/>
  <c r="AW9" i="2"/>
  <c r="AU9" i="2"/>
  <c r="AS9" i="2"/>
  <c r="AK9" i="2"/>
  <c r="AE9" i="2"/>
  <c r="AC9" i="2"/>
  <c r="AA9" i="2"/>
  <c r="Y9" i="2"/>
  <c r="W9" i="2"/>
  <c r="U9" i="2"/>
  <c r="AW8" i="2"/>
  <c r="AU8" i="2"/>
  <c r="AS8" i="2"/>
  <c r="AK8" i="2"/>
  <c r="AE8" i="2"/>
  <c r="AC8" i="2"/>
  <c r="AA8" i="2"/>
  <c r="Y8" i="2"/>
  <c r="W8" i="2"/>
  <c r="U8" i="2"/>
  <c r="AW7" i="2"/>
  <c r="AU7" i="2"/>
  <c r="AS7" i="2"/>
  <c r="AK7" i="2"/>
  <c r="AE7" i="2"/>
  <c r="AC7" i="2"/>
  <c r="AA7" i="2"/>
  <c r="Y7" i="2"/>
  <c r="W7" i="2"/>
  <c r="U7" i="2"/>
  <c r="AW6" i="2"/>
  <c r="AU6" i="2"/>
  <c r="AS6" i="2"/>
  <c r="AK6" i="2"/>
  <c r="AE6" i="2"/>
  <c r="AC6" i="2"/>
  <c r="AA6" i="2"/>
  <c r="Y6" i="2"/>
  <c r="W6" i="2"/>
  <c r="U6" i="2"/>
  <c r="AW5" i="2"/>
  <c r="AU5" i="2"/>
  <c r="AS5" i="2"/>
  <c r="AK5" i="2"/>
  <c r="AE5" i="2"/>
  <c r="AC5" i="2"/>
  <c r="AA5" i="2"/>
  <c r="Y5" i="2"/>
  <c r="W5" i="2"/>
  <c r="U5" i="2"/>
  <c r="AW4" i="2"/>
  <c r="AU4" i="2"/>
  <c r="AS4" i="2"/>
  <c r="AK4" i="2"/>
  <c r="AE4" i="2"/>
  <c r="AC4" i="2"/>
  <c r="AA4" i="2"/>
  <c r="Y4" i="2"/>
  <c r="W4" i="2"/>
  <c r="U4" i="2"/>
  <c r="AW3" i="2"/>
  <c r="AU3" i="2"/>
  <c r="AS3" i="2"/>
  <c r="AK3" i="2"/>
  <c r="AE3" i="2"/>
  <c r="AC3" i="2"/>
  <c r="AA3" i="2"/>
  <c r="Y3" i="2"/>
  <c r="W3" i="2"/>
  <c r="U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1" authorId="0" shapeId="0" xr:uid="{4BF12633-F499-48ED-8930-8C9028B593CF}">
      <text>
        <r>
          <rPr>
            <sz val="8"/>
            <color indexed="81"/>
            <rFont val="Segoe UI"/>
            <family val="2"/>
          </rPr>
          <t xml:space="preserve">Verifica se a chave formada pelos campos classificados como </t>
        </r>
        <r>
          <rPr>
            <b/>
            <sz val="8"/>
            <color indexed="81"/>
            <rFont val="Segoe UI"/>
            <family val="2"/>
          </rPr>
          <t>"pk"</t>
        </r>
        <r>
          <rPr>
            <sz val="8"/>
            <color indexed="81"/>
            <rFont val="Segoe UI"/>
            <family val="2"/>
          </rPr>
          <t xml:space="preserve"> na aba </t>
        </r>
        <r>
          <rPr>
            <b/>
            <sz val="8"/>
            <color indexed="81"/>
            <rFont val="Segoe UI"/>
            <family val="2"/>
          </rPr>
          <t>"fields"</t>
        </r>
        <r>
          <rPr>
            <sz val="8"/>
            <color indexed="81"/>
            <rFont val="Segoe UI"/>
            <family val="2"/>
          </rPr>
          <t xml:space="preserve"> possui registros únicos na tabela.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F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Menor valor encontrado</t>
        </r>
      </text>
    </comment>
    <comment ref="AG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Maior valor encontrado
</t>
        </r>
      </text>
    </comment>
    <comment ref="AH2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 xml:space="preserve">Média aritmética
Soma dos valores dividia pela contagem de itens.
</t>
        </r>
      </text>
    </comment>
    <comment ref="AI2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Desvio padrão
Quantifica a dispersão dos dados em torno da média.
</t>
        </r>
      </text>
    </comment>
    <comment ref="AJ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O número de valores distintos (não repetidos) na série
</t>
        </r>
      </text>
    </comment>
    <comment ref="AL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 xml:space="preserve">Moda
Valor que mais aparece.
</t>
        </r>
      </text>
    </comment>
    <comment ref="AM2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 xml:space="preserve">Número de vezes que o numero mais frequente (top/moda) aparece. 
</t>
        </r>
      </text>
    </comment>
    <comment ref="AO2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O valor abaixo do qual 25% dos dados se encontram.</t>
        </r>
      </text>
    </comment>
    <comment ref="AP2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Mediana dos dados. 
O valor que divide o conjunto de dados ao meio.</t>
        </r>
      </text>
    </comment>
    <comment ref="AQ2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 xml:space="preserve">O valor abaixo do qual 75% dos dados se encontram.
</t>
        </r>
      </text>
    </comment>
    <comment ref="AR2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Qtde de valores válidos segundo o formato especificado na coluna "format". 
Validado pelo conteúdo da coluna "regex".</t>
        </r>
      </text>
    </comment>
    <comment ref="AT2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Qtde de valores válidos segundo a lista informada na coluna  "list".</t>
        </r>
      </text>
    </comment>
    <comment ref="AV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Qtde de valores válidos segundo limites informados na coluna "range".</t>
        </r>
      </text>
    </comment>
  </commentList>
</comments>
</file>

<file path=xl/sharedStrings.xml><?xml version="1.0" encoding="utf-8"?>
<sst xmlns="http://schemas.openxmlformats.org/spreadsheetml/2006/main" count="232" uniqueCount="94">
  <si>
    <t>table</t>
  </si>
  <si>
    <t>desc</t>
  </si>
  <si>
    <t>file</t>
  </si>
  <si>
    <t>type</t>
  </si>
  <si>
    <t>file_size</t>
  </si>
  <si>
    <t>lines</t>
  </si>
  <si>
    <t>columns</t>
  </si>
  <si>
    <t>columns_existence</t>
  </si>
  <si>
    <t>column_unique</t>
  </si>
  <si>
    <t>pk_unique</t>
  </si>
  <si>
    <t>ses_cias</t>
  </si>
  <si>
    <t>Tabela de empresas seguradoras</t>
  </si>
  <si>
    <t>ses_cias.csv</t>
  </si>
  <si>
    <t>Dimensão</t>
  </si>
  <si>
    <t>yes</t>
  </si>
  <si>
    <t>ses_ramos</t>
  </si>
  <si>
    <t>Tabela de ramos de negocio</t>
  </si>
  <si>
    <t>ses_ramos.csv</t>
  </si>
  <si>
    <t>ses_seguros</t>
  </si>
  <si>
    <t>Tabela de valores de operações de seguro</t>
  </si>
  <si>
    <t>ses_seguros.csv</t>
  </si>
  <si>
    <t>field identification</t>
  </si>
  <si>
    <t>field characteristics</t>
  </si>
  <si>
    <t>describe</t>
  </si>
  <si>
    <t>validations</t>
  </si>
  <si>
    <t>field</t>
  </si>
  <si>
    <t>size</t>
  </si>
  <si>
    <t>format</t>
  </si>
  <si>
    <t>pk</t>
  </si>
  <si>
    <t>fk</t>
  </si>
  <si>
    <t>fk_field</t>
  </si>
  <si>
    <t>fk_table</t>
  </si>
  <si>
    <t>empty</t>
  </si>
  <si>
    <t>null</t>
  </si>
  <si>
    <t>zero</t>
  </si>
  <si>
    <t>negative</t>
  </si>
  <si>
    <t>uniques</t>
  </si>
  <si>
    <t>regex</t>
  </si>
  <si>
    <t>range</t>
  </si>
  <si>
    <t>list</t>
  </si>
  <si>
    <t>count</t>
  </si>
  <si>
    <t>nulls</t>
  </si>
  <si>
    <t>blanks</t>
  </si>
  <si>
    <t>int</t>
  </si>
  <si>
    <t>float</t>
  </si>
  <si>
    <t>str</t>
  </si>
  <si>
    <t>date</t>
  </si>
  <si>
    <t>min</t>
  </si>
  <si>
    <t>max</t>
  </si>
  <si>
    <t>mean</t>
  </si>
  <si>
    <t>std</t>
  </si>
  <si>
    <t>unique</t>
  </si>
  <si>
    <t>top</t>
  </si>
  <si>
    <t>freq</t>
  </si>
  <si>
    <t>q1(25%)</t>
  </si>
  <si>
    <t>q2(50%)</t>
  </si>
  <si>
    <t>q3(75%)</t>
  </si>
  <si>
    <t>valid_format</t>
  </si>
  <si>
    <t>valid_on_list</t>
  </si>
  <si>
    <t>valid_on_range</t>
  </si>
  <si>
    <t>coenti</t>
  </si>
  <si>
    <t>Código da empresas seguradoras</t>
  </si>
  <si>
    <t>Sergio</t>
  </si>
  <si>
    <t>no</t>
  </si>
  <si>
    <t>5000;5400</t>
  </si>
  <si>
    <t>noenti</t>
  </si>
  <si>
    <t>Nome da empresa</t>
  </si>
  <si>
    <t>coramo</t>
  </si>
  <si>
    <t>Código do ramo</t>
  </si>
  <si>
    <t>1101;1601;2201</t>
  </si>
  <si>
    <t>noramo</t>
  </si>
  <si>
    <t>Nome dro ramo</t>
  </si>
  <si>
    <t>Código da Empresa</t>
  </si>
  <si>
    <t>Código do Ramo no FIP</t>
  </si>
  <si>
    <t>damesano</t>
  </si>
  <si>
    <t>Ano e mês da informação</t>
  </si>
  <si>
    <t>YYYYMM</t>
  </si>
  <si>
    <t>^(?:19[7-9]\d|20[0-4]\d|2050)(?:0[1-9]|1[0-2])$</t>
  </si>
  <si>
    <t>premio_direto</t>
  </si>
  <si>
    <t>Prêmio Direto (R$)</t>
  </si>
  <si>
    <t>premio_ganho</t>
  </si>
  <si>
    <t>Prêmio Ganho (R$)</t>
  </si>
  <si>
    <t>premio_de_seguros</t>
  </si>
  <si>
    <t>Prêmio Seguros (R$)</t>
  </si>
  <si>
    <t>sinistro_direto</t>
  </si>
  <si>
    <t>Sinistro de Seguros (R$)</t>
  </si>
  <si>
    <t>sinistro_retido</t>
  </si>
  <si>
    <t>Sinistro Retido (R$)</t>
  </si>
  <si>
    <t>desp_com</t>
  </si>
  <si>
    <t>Despesa Comercial (R$)</t>
  </si>
  <si>
    <t>counting by content types</t>
  </si>
  <si>
    <t xml:space="preserve">pk_not_null </t>
  </si>
  <si>
    <t>fk integrity</t>
  </si>
  <si>
    <t>fk_found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</si>
</sst>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theme="4" tint="0.79998168889431442"/>
      <name val="Calibri"/>
      <family val="2"/>
      <scheme val="minor"/>
    </font>
    <font>
      <sz val="9"/>
      <color theme="2"/>
      <name val="Calibri"/>
      <family val="2"/>
      <scheme val="minor"/>
    </font>
    <font>
      <b/>
      <sz val="9"/>
      <color theme="7" tint="0.79998168889431442"/>
      <name val="Calibri"/>
      <family val="2"/>
      <scheme val="minor"/>
    </font>
    <font>
      <sz val="8"/>
      <color indexed="81"/>
      <name val="Segoe UI"/>
      <family val="2"/>
    </font>
    <font>
      <b/>
      <sz val="8"/>
      <color indexed="81"/>
      <name val="Segoe UI"/>
      <family val="2"/>
    </font>
    <font>
      <u/>
      <sz val="11"/>
      <color theme="4" tint="-0.499984740745262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A8DADC"/>
        <bgColor indexed="64"/>
      </patternFill>
    </fill>
    <fill>
      <patternFill patternType="solid">
        <fgColor rgb="FFF1FAEE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EBF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0" fillId="4" borderId="1" xfId="0" applyFill="1" applyBorder="1" applyAlignment="1">
      <alignment horizontal="left"/>
    </xf>
    <xf numFmtId="10" fontId="0" fillId="4" borderId="1" xfId="0" applyNumberFormat="1" applyFill="1" applyBorder="1" applyAlignment="1">
      <alignment horizontal="left"/>
    </xf>
    <xf numFmtId="0" fontId="3" fillId="5" borderId="1" xfId="0" applyFont="1" applyFill="1" applyBorder="1"/>
    <xf numFmtId="49" fontId="3" fillId="5" borderId="1" xfId="0" applyNumberFormat="1" applyFont="1" applyFill="1" applyBorder="1"/>
    <xf numFmtId="49" fontId="5" fillId="6" borderId="1" xfId="0" applyNumberFormat="1" applyFont="1" applyFill="1" applyBorder="1"/>
    <xf numFmtId="0" fontId="0" fillId="9" borderId="1" xfId="0" applyFill="1" applyBorder="1" applyAlignment="1">
      <alignment horizontal="left"/>
    </xf>
    <xf numFmtId="0" fontId="1" fillId="10" borderId="1" xfId="0" applyFont="1" applyFill="1" applyBorder="1"/>
    <xf numFmtId="0" fontId="2" fillId="10" borderId="1" xfId="0" applyFont="1" applyFill="1" applyBorder="1"/>
    <xf numFmtId="0" fontId="0" fillId="10" borderId="1" xfId="0" applyFill="1" applyBorder="1" applyAlignment="1">
      <alignment shrinkToFit="1"/>
    </xf>
    <xf numFmtId="0" fontId="0" fillId="0" borderId="0" xfId="0"/>
    <xf numFmtId="0" fontId="7" fillId="3" borderId="1" xfId="0" applyFont="1" applyFill="1" applyBorder="1" applyAlignment="1">
      <alignment horizontal="center"/>
    </xf>
    <xf numFmtId="0" fontId="7" fillId="0" borderId="0" xfId="0" applyFont="1"/>
    <xf numFmtId="0" fontId="0" fillId="10" borderId="1" xfId="0" applyFill="1" applyBorder="1"/>
    <xf numFmtId="0" fontId="10" fillId="8" borderId="1" xfId="0" applyFont="1" applyFill="1" applyBorder="1" applyAlignment="1" applyProtection="1">
      <alignment horizontal="center"/>
      <protection locked="0"/>
    </xf>
    <xf numFmtId="0" fontId="0" fillId="13" borderId="1" xfId="0" applyFill="1" applyBorder="1" applyAlignment="1">
      <alignment horizontal="left" vertical="center"/>
    </xf>
    <xf numFmtId="2" fontId="0" fillId="13" borderId="1" xfId="0" applyNumberForma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0" fillId="15" borderId="1" xfId="0" applyFill="1" applyBorder="1" applyAlignment="1">
      <alignment horizontal="center"/>
    </xf>
    <xf numFmtId="10" fontId="11" fillId="12" borderId="1" xfId="0" applyNumberFormat="1" applyFont="1" applyFill="1" applyBorder="1" applyAlignment="1">
      <alignment horizontal="left" vertical="center"/>
    </xf>
    <xf numFmtId="49" fontId="8" fillId="16" borderId="1" xfId="0" applyNumberFormat="1" applyFont="1" applyFill="1" applyBorder="1"/>
    <xf numFmtId="10" fontId="12" fillId="17" borderId="1" xfId="0" applyNumberFormat="1" applyFont="1" applyFill="1" applyBorder="1" applyAlignment="1">
      <alignment horizontal="center"/>
    </xf>
    <xf numFmtId="10" fontId="13" fillId="18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10" fontId="12" fillId="19" borderId="1" xfId="0" applyNumberFormat="1" applyFont="1" applyFill="1" applyBorder="1" applyAlignment="1">
      <alignment horizontal="center"/>
    </xf>
    <xf numFmtId="0" fontId="16" fillId="8" borderId="1" xfId="0" applyFont="1" applyFill="1" applyBorder="1" applyAlignment="1" applyProtection="1">
      <alignment horizontal="center"/>
      <protection locked="0"/>
    </xf>
    <xf numFmtId="0" fontId="0" fillId="0" borderId="0" xfId="0" applyFont="1"/>
    <xf numFmtId="0" fontId="2" fillId="0" borderId="0" xfId="0" applyFont="1"/>
    <xf numFmtId="0" fontId="1" fillId="20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0" fontId="12" fillId="21" borderId="1" xfId="0" applyNumberFormat="1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/>
    </xf>
    <xf numFmtId="0" fontId="9" fillId="11" borderId="2" xfId="0" applyFont="1" applyFill="1" applyBorder="1"/>
    <xf numFmtId="49" fontId="8" fillId="16" borderId="6" xfId="0" applyNumberFormat="1" applyFont="1" applyFill="1" applyBorder="1" applyAlignment="1">
      <alignment horizontal="center"/>
    </xf>
    <xf numFmtId="49" fontId="8" fillId="16" borderId="2" xfId="0" applyNumberFormat="1" applyFont="1" applyFill="1" applyBorder="1" applyAlignment="1">
      <alignment horizontal="center"/>
    </xf>
    <xf numFmtId="0" fontId="0" fillId="20" borderId="6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0" fontId="5" fillId="22" borderId="2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0" borderId="5" xfId="0" applyBorder="1"/>
    <xf numFmtId="0" fontId="0" fillId="0" borderId="2" xfId="0" applyBorder="1"/>
    <xf numFmtId="49" fontId="4" fillId="14" borderId="1" xfId="0" applyNumberFormat="1" applyFont="1" applyFill="1" applyBorder="1" applyAlignment="1">
      <alignment horizontal="center"/>
    </xf>
    <xf numFmtId="0" fontId="0" fillId="14" borderId="2" xfId="0" applyFill="1" applyBorder="1"/>
    <xf numFmtId="0" fontId="6" fillId="15" borderId="1" xfId="0" applyFont="1" applyFill="1" applyBorder="1" applyAlignment="1">
      <alignment horizontal="center"/>
    </xf>
    <xf numFmtId="0" fontId="0" fillId="15" borderId="5" xfId="0" applyFill="1" applyBorder="1"/>
    <xf numFmtId="0" fontId="0" fillId="15" borderId="2" xfId="0" applyFill="1" applyBorder="1"/>
    <xf numFmtId="49" fontId="8" fillId="16" borderId="1" xfId="0" applyNumberFormat="1" applyFont="1" applyFill="1" applyBorder="1" applyAlignment="1">
      <alignment horizontal="center"/>
    </xf>
    <xf numFmtId="0" fontId="9" fillId="16" borderId="2" xfId="0" applyFont="1" applyFill="1" applyBorder="1"/>
    <xf numFmtId="0" fontId="6" fillId="13" borderId="4" xfId="0" applyFont="1" applyFill="1" applyBorder="1" applyAlignment="1">
      <alignment horizontal="center"/>
    </xf>
    <xf numFmtId="0" fontId="0" fillId="13" borderId="3" xfId="0" applyFill="1" applyBorder="1"/>
    <xf numFmtId="0" fontId="3" fillId="8" borderId="1" xfId="0" applyFont="1" applyFill="1" applyBorder="1" applyAlignment="1">
      <alignment horizontal="center"/>
    </xf>
    <xf numFmtId="0" fontId="0" fillId="8" borderId="5" xfId="0" applyFill="1" applyBorder="1"/>
    <xf numFmtId="0" fontId="0" fillId="8" borderId="2" xfId="0" applyFill="1" applyBorder="1"/>
    <xf numFmtId="0" fontId="6" fillId="10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rgb="FFFF0000"/>
      </font>
    </dxf>
    <dxf>
      <font>
        <color theme="0" tint="-0.24994659260841701"/>
      </font>
    </dxf>
    <dxf>
      <font>
        <color theme="0" tint="-0.1498764000366222"/>
      </font>
    </dxf>
    <dxf>
      <font>
        <b/>
      </font>
    </dxf>
    <dxf>
      <font>
        <b/>
      </font>
    </dxf>
    <dxf>
      <font>
        <color theme="0" tint="-0.2499465926084170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N1" sqref="N1:N1048576"/>
    </sheetView>
  </sheetViews>
  <sheetFormatPr defaultRowHeight="14.5" x14ac:dyDescent="0.35"/>
  <cols>
    <col min="1" max="1" width="10.90625" style="12" bestFit="1" customWidth="1"/>
    <col min="2" max="2" width="36.1796875" style="12" bestFit="1" customWidth="1"/>
    <col min="3" max="3" width="14.08984375" style="12" bestFit="1" customWidth="1"/>
    <col min="4" max="4" width="9.1796875" style="12" bestFit="1" customWidth="1"/>
    <col min="5" max="5" width="14.7265625" style="12" customWidth="1"/>
    <col min="6" max="6" width="9.36328125" style="12" customWidth="1"/>
    <col min="7" max="7" width="8.81640625" style="12" customWidth="1"/>
    <col min="8" max="8" width="16.7265625" style="12" bestFit="1" customWidth="1"/>
    <col min="9" max="9" width="13.90625" style="12" bestFit="1" customWidth="1"/>
    <col min="10" max="10" width="5.453125" style="12" customWidth="1"/>
    <col min="11" max="12" width="7.1796875" style="12" customWidth="1"/>
    <col min="13" max="13" width="7.81640625" customWidth="1"/>
  </cols>
  <sheetData>
    <row r="1" spans="1:13" x14ac:dyDescent="0.3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3" t="s">
        <v>9</v>
      </c>
      <c r="K1" s="34"/>
      <c r="L1" s="35" t="s">
        <v>91</v>
      </c>
      <c r="M1" s="36"/>
    </row>
    <row r="2" spans="1:13" x14ac:dyDescent="0.35">
      <c r="A2" s="3" t="s">
        <v>10</v>
      </c>
      <c r="B2" s="3" t="s">
        <v>11</v>
      </c>
      <c r="C2" s="3" t="s">
        <v>12</v>
      </c>
      <c r="D2" s="4" t="s">
        <v>13</v>
      </c>
      <c r="E2" s="13"/>
      <c r="F2" s="13"/>
      <c r="G2" s="13"/>
      <c r="H2" s="13"/>
      <c r="I2" s="13"/>
      <c r="J2" s="13"/>
      <c r="K2" s="26" t="e">
        <f>J2/F2</f>
        <v>#DIV/0!</v>
      </c>
      <c r="L2" s="13"/>
      <c r="M2" s="26" t="e">
        <f>L2/F2</f>
        <v>#DIV/0!</v>
      </c>
    </row>
    <row r="3" spans="1:13" x14ac:dyDescent="0.35">
      <c r="A3" s="3" t="s">
        <v>15</v>
      </c>
      <c r="B3" s="3" t="s">
        <v>16</v>
      </c>
      <c r="C3" s="3" t="s">
        <v>17</v>
      </c>
      <c r="D3" s="4" t="s">
        <v>13</v>
      </c>
      <c r="E3" s="13"/>
      <c r="F3" s="13"/>
      <c r="G3" s="13"/>
      <c r="H3" s="13"/>
      <c r="I3" s="13"/>
      <c r="J3" s="13"/>
      <c r="K3" s="26" t="e">
        <f t="shared" ref="K3:K4" si="0">J3/F3</f>
        <v>#DIV/0!</v>
      </c>
      <c r="L3" s="13"/>
      <c r="M3" s="26" t="e">
        <f t="shared" ref="M3:M4" si="1">L3/F3</f>
        <v>#DIV/0!</v>
      </c>
    </row>
    <row r="4" spans="1:13" x14ac:dyDescent="0.35">
      <c r="A4" s="3" t="s">
        <v>18</v>
      </c>
      <c r="B4" s="3" t="s">
        <v>19</v>
      </c>
      <c r="C4" s="3" t="s">
        <v>20</v>
      </c>
      <c r="D4" s="4" t="s">
        <v>13</v>
      </c>
      <c r="E4" s="13"/>
      <c r="F4" s="13"/>
      <c r="G4" s="13"/>
      <c r="H4" s="13"/>
      <c r="I4" s="13"/>
      <c r="J4" s="13"/>
      <c r="K4" s="26" t="e">
        <f t="shared" si="0"/>
        <v>#DIV/0!</v>
      </c>
      <c r="L4" s="13"/>
      <c r="M4" s="26" t="e">
        <f t="shared" si="1"/>
        <v>#DIV/0!</v>
      </c>
    </row>
    <row r="5" spans="1:13" x14ac:dyDescent="0.35">
      <c r="E5" s="14"/>
      <c r="F5" s="14"/>
      <c r="G5" s="14"/>
      <c r="H5" s="14"/>
      <c r="I5" s="14"/>
      <c r="J5" s="14"/>
      <c r="K5" s="14"/>
      <c r="L5" s="14"/>
      <c r="M5" s="14"/>
    </row>
    <row r="6" spans="1:13" x14ac:dyDescent="0.35">
      <c r="E6" s="14"/>
      <c r="F6" s="14"/>
      <c r="G6" s="14"/>
      <c r="H6" s="14"/>
      <c r="I6" s="14"/>
      <c r="J6" s="14"/>
      <c r="K6" s="14"/>
      <c r="L6" s="14"/>
      <c r="M6" s="14"/>
    </row>
    <row r="8" spans="1:13" x14ac:dyDescent="0.35">
      <c r="I8" s="14"/>
      <c r="M8" s="28"/>
    </row>
  </sheetData>
  <mergeCells count="2">
    <mergeCell ref="J1:K1"/>
    <mergeCell ref="L1:M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7"/>
  <sheetViews>
    <sheetView workbookViewId="0">
      <pane xSplit="2" ySplit="2" topLeftCell="AU3" activePane="bottomRight" state="frozen"/>
      <selection pane="topRight" activeCell="C1" sqref="C1"/>
      <selection pane="bottomLeft" activeCell="A3" sqref="A3"/>
      <selection pane="bottomRight" activeCell="BC4" sqref="BC4"/>
    </sheetView>
  </sheetViews>
  <sheetFormatPr defaultColWidth="4.81640625" defaultRowHeight="14.5" x14ac:dyDescent="0.35"/>
  <cols>
    <col min="1" max="1" width="11.453125" style="12" bestFit="1" customWidth="1"/>
    <col min="2" max="2" width="17.54296875" style="12" bestFit="1" customWidth="1"/>
    <col min="3" max="3" width="28.7265625" style="12" bestFit="1" customWidth="1"/>
    <col min="4" max="4" width="4.6328125" style="12" bestFit="1" customWidth="1"/>
    <col min="5" max="5" width="5.90625" style="12" bestFit="1" customWidth="1"/>
    <col min="6" max="6" width="8.26953125" style="12" bestFit="1" customWidth="1"/>
    <col min="7" max="7" width="3.7265625" style="12" bestFit="1" customWidth="1"/>
    <col min="8" max="8" width="3.54296875" style="12" bestFit="1" customWidth="1"/>
    <col min="9" max="10" width="9.7265625" style="12" bestFit="1" customWidth="1"/>
    <col min="11" max="11" width="6.1796875" style="12" bestFit="1" customWidth="1"/>
    <col min="12" max="12" width="3.90625" style="12" bestFit="1" customWidth="1"/>
    <col min="13" max="13" width="4.453125" style="12" bestFit="1" customWidth="1"/>
    <col min="14" max="14" width="7.90625" style="12" bestFit="1" customWidth="1"/>
    <col min="15" max="15" width="7.453125" style="12" bestFit="1" customWidth="1"/>
    <col min="16" max="16" width="18" style="12" customWidth="1"/>
    <col min="17" max="17" width="10.08984375" style="12" bestFit="1" customWidth="1"/>
    <col min="18" max="18" width="15.08984375" style="12" bestFit="1" customWidth="1"/>
    <col min="19" max="19" width="5.6328125" style="12" bestFit="1" customWidth="1"/>
    <col min="20" max="20" width="1.81640625" style="12" bestFit="1" customWidth="1"/>
    <col min="21" max="21" width="8.7265625" style="12" customWidth="1"/>
    <col min="22" max="22" width="1.81640625" style="12" bestFit="1" customWidth="1"/>
    <col min="23" max="23" width="7" style="12" customWidth="1"/>
    <col min="24" max="24" width="3.81640625" style="12" bestFit="1" customWidth="1"/>
    <col min="25" max="25" width="6.54296875" style="12" bestFit="1" customWidth="1"/>
    <col min="26" max="26" width="1.81640625" style="12" bestFit="1" customWidth="1"/>
    <col min="27" max="27" width="6.6328125" style="12" customWidth="1"/>
    <col min="28" max="28" width="3.81640625" style="12" bestFit="1" customWidth="1"/>
    <col min="29" max="29" width="7.90625" style="12" customWidth="1"/>
    <col min="30" max="30" width="1.81640625" style="12" bestFit="1" customWidth="1"/>
    <col min="31" max="31" width="8.1796875" style="12" customWidth="1"/>
    <col min="32" max="32" width="8.81640625" style="12" customWidth="1"/>
    <col min="33" max="33" width="10.1796875" style="12" customWidth="1"/>
    <col min="34" max="35" width="10.08984375" style="12" bestFit="1" customWidth="1"/>
    <col min="36" max="36" width="3.81640625" style="12" bestFit="1" customWidth="1"/>
    <col min="37" max="37" width="6.453125" style="12" bestFit="1" customWidth="1"/>
    <col min="38" max="38" width="8.08984375" style="12" customWidth="1"/>
    <col min="39" max="39" width="4.26953125" style="12" bestFit="1" customWidth="1"/>
    <col min="40" max="40" width="5.7265625" style="12" bestFit="1" customWidth="1"/>
    <col min="41" max="43" width="7.90625" style="12" bestFit="1" customWidth="1"/>
    <col min="44" max="44" width="11.54296875" style="12" bestFit="1" customWidth="1"/>
    <col min="45" max="45" width="6.36328125" style="12" bestFit="1" customWidth="1"/>
    <col min="46" max="46" width="5.81640625" style="12" bestFit="1" customWidth="1"/>
    <col min="47" max="47" width="6.36328125" style="12" bestFit="1" customWidth="1"/>
    <col min="48" max="48" width="10.08984375" style="12" bestFit="1" customWidth="1"/>
    <col min="49" max="49" width="7.54296875" style="12" customWidth="1"/>
    <col min="50" max="50" width="8.7265625" style="12" customWidth="1"/>
    <col min="51" max="51" width="7.7265625" style="12" bestFit="1" customWidth="1"/>
    <col min="52" max="52" width="6.36328125" style="12" customWidth="1"/>
    <col min="53" max="53" width="7.7265625" style="12" bestFit="1" customWidth="1"/>
    <col min="54" max="61" width="4.81640625" style="12" customWidth="1"/>
    <col min="62" max="16384" width="4.81640625" style="12"/>
  </cols>
  <sheetData>
    <row r="1" spans="1:53" x14ac:dyDescent="0.35">
      <c r="A1" s="45" t="s">
        <v>21</v>
      </c>
      <c r="B1" s="46"/>
      <c r="C1" s="46"/>
      <c r="D1" s="46"/>
      <c r="E1" s="46"/>
      <c r="F1" s="47"/>
      <c r="G1" s="60" t="s">
        <v>22</v>
      </c>
      <c r="H1" s="46"/>
      <c r="I1" s="46"/>
      <c r="J1" s="46"/>
      <c r="K1" s="46"/>
      <c r="L1" s="46"/>
      <c r="M1" s="46"/>
      <c r="N1" s="46"/>
      <c r="O1" s="46"/>
      <c r="P1" s="46"/>
      <c r="Q1" s="46"/>
      <c r="R1" s="47"/>
      <c r="S1" s="57" t="s">
        <v>90</v>
      </c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9"/>
      <c r="AF1" s="55" t="s">
        <v>23</v>
      </c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0" t="s">
        <v>24</v>
      </c>
      <c r="AS1" s="51"/>
      <c r="AT1" s="51"/>
      <c r="AU1" s="51"/>
      <c r="AV1" s="51"/>
      <c r="AW1" s="52"/>
      <c r="AX1" s="41" t="s">
        <v>92</v>
      </c>
      <c r="AY1" s="42"/>
    </row>
    <row r="2" spans="1:53" s="1" customFormat="1" ht="15.5" customHeight="1" x14ac:dyDescent="0.35">
      <c r="A2" s="6" t="s">
        <v>0</v>
      </c>
      <c r="B2" s="6" t="s">
        <v>25</v>
      </c>
      <c r="C2" s="6" t="s">
        <v>1</v>
      </c>
      <c r="D2" s="6" t="s">
        <v>3</v>
      </c>
      <c r="E2" s="6" t="s">
        <v>26</v>
      </c>
      <c r="F2" s="6" t="s">
        <v>27</v>
      </c>
      <c r="G2" s="7" t="s">
        <v>28</v>
      </c>
      <c r="H2" s="7" t="s">
        <v>29</v>
      </c>
      <c r="I2" s="7" t="s">
        <v>31</v>
      </c>
      <c r="J2" s="7" t="s">
        <v>30</v>
      </c>
      <c r="K2" s="7" t="s">
        <v>32</v>
      </c>
      <c r="L2" s="7" t="s">
        <v>33</v>
      </c>
      <c r="M2" s="7" t="s">
        <v>34</v>
      </c>
      <c r="N2" s="7" t="s">
        <v>35</v>
      </c>
      <c r="O2" s="7" t="s">
        <v>36</v>
      </c>
      <c r="P2" s="7" t="s">
        <v>37</v>
      </c>
      <c r="Q2" s="7" t="s">
        <v>38</v>
      </c>
      <c r="R2" s="7" t="s">
        <v>39</v>
      </c>
      <c r="S2" s="7" t="s">
        <v>40</v>
      </c>
      <c r="T2" s="37" t="s">
        <v>41</v>
      </c>
      <c r="U2" s="38"/>
      <c r="V2" s="37" t="s">
        <v>42</v>
      </c>
      <c r="W2" s="38"/>
      <c r="X2" s="37" t="s">
        <v>43</v>
      </c>
      <c r="Y2" s="38"/>
      <c r="Z2" s="37" t="s">
        <v>44</v>
      </c>
      <c r="AA2" s="38"/>
      <c r="AB2" s="37" t="s">
        <v>45</v>
      </c>
      <c r="AC2" s="38"/>
      <c r="AD2" s="37" t="s">
        <v>46</v>
      </c>
      <c r="AE2" s="38"/>
      <c r="AF2" s="22" t="s">
        <v>47</v>
      </c>
      <c r="AG2" s="22" t="s">
        <v>48</v>
      </c>
      <c r="AH2" s="22" t="s">
        <v>49</v>
      </c>
      <c r="AI2" s="22" t="s">
        <v>50</v>
      </c>
      <c r="AJ2" s="53" t="s">
        <v>51</v>
      </c>
      <c r="AK2" s="54"/>
      <c r="AL2" s="22" t="s">
        <v>52</v>
      </c>
      <c r="AM2" s="39" t="s">
        <v>53</v>
      </c>
      <c r="AN2" s="40"/>
      <c r="AO2" s="22" t="s">
        <v>54</v>
      </c>
      <c r="AP2" s="22" t="s">
        <v>55</v>
      </c>
      <c r="AQ2" s="22" t="s">
        <v>56</v>
      </c>
      <c r="AR2" s="48" t="s">
        <v>57</v>
      </c>
      <c r="AS2" s="49"/>
      <c r="AT2" s="48" t="s">
        <v>58</v>
      </c>
      <c r="AU2" s="49"/>
      <c r="AV2" s="48" t="s">
        <v>59</v>
      </c>
      <c r="AW2" s="49"/>
      <c r="AX2" s="43" t="s">
        <v>93</v>
      </c>
      <c r="AY2" s="44"/>
      <c r="AZ2" s="29"/>
    </row>
    <row r="3" spans="1:53" s="1" customFormat="1" ht="15.5" customHeight="1" x14ac:dyDescent="0.35">
      <c r="A3" s="25" t="s">
        <v>10</v>
      </c>
      <c r="B3" s="25" t="s">
        <v>60</v>
      </c>
      <c r="C3" s="8" t="s">
        <v>61</v>
      </c>
      <c r="D3" s="8" t="s">
        <v>43</v>
      </c>
      <c r="E3" s="8" t="s">
        <v>62</v>
      </c>
      <c r="F3" s="8"/>
      <c r="G3" s="9" t="s">
        <v>14</v>
      </c>
      <c r="H3" s="9" t="s">
        <v>63</v>
      </c>
      <c r="I3" s="9"/>
      <c r="J3" s="9"/>
      <c r="K3" s="9" t="s">
        <v>63</v>
      </c>
      <c r="L3" s="9" t="s">
        <v>63</v>
      </c>
      <c r="M3" s="9" t="s">
        <v>63</v>
      </c>
      <c r="N3" s="9" t="s">
        <v>63</v>
      </c>
      <c r="O3" s="9" t="s">
        <v>14</v>
      </c>
      <c r="P3" s="9"/>
      <c r="Q3" s="9" t="s">
        <v>64</v>
      </c>
      <c r="R3" s="9"/>
      <c r="S3" s="9"/>
      <c r="T3" s="16"/>
      <c r="U3" s="23" t="e">
        <f t="shared" ref="U3:U15" si="0">T3/S3</f>
        <v>#DIV/0!</v>
      </c>
      <c r="V3" s="16"/>
      <c r="W3" s="23" t="e">
        <f t="shared" ref="W3:W15" si="1">V3/S3</f>
        <v>#DIV/0!</v>
      </c>
      <c r="X3" s="16"/>
      <c r="Y3" s="23" t="e">
        <f t="shared" ref="Y3:Y15" si="2">X3/S3</f>
        <v>#DIV/0!</v>
      </c>
      <c r="Z3" s="16"/>
      <c r="AA3" s="23" t="e">
        <f t="shared" ref="AA3:AA15" si="3">Z3/S3</f>
        <v>#DIV/0!</v>
      </c>
      <c r="AB3" s="16"/>
      <c r="AC3" s="23" t="e">
        <f t="shared" ref="AC3:AC15" si="4">AB3/S3</f>
        <v>#DIV/0!</v>
      </c>
      <c r="AD3" s="27"/>
      <c r="AE3" s="23" t="e">
        <f t="shared" ref="AE3:AE15" si="5">AD3/S3</f>
        <v>#DIV/0!</v>
      </c>
      <c r="AF3" s="17"/>
      <c r="AG3" s="17"/>
      <c r="AH3" s="18"/>
      <c r="AI3" s="18"/>
      <c r="AJ3" s="17"/>
      <c r="AK3" s="21" t="e">
        <f t="shared" ref="AK3:AK15" si="6">AJ3/S3</f>
        <v>#DIV/0!</v>
      </c>
      <c r="AL3" s="17"/>
      <c r="AM3" s="17"/>
      <c r="AN3" s="21" t="e">
        <f>AM3/S3</f>
        <v>#DIV/0!</v>
      </c>
      <c r="AO3" s="17"/>
      <c r="AP3" s="17"/>
      <c r="AQ3" s="17"/>
      <c r="AR3" s="20"/>
      <c r="AS3" s="24" t="e">
        <f t="shared" ref="AS3:AS15" si="7">IF(AR3="no format", "",AR3/S3 )</f>
        <v>#DIV/0!</v>
      </c>
      <c r="AT3" s="20"/>
      <c r="AU3" s="24" t="e">
        <f t="shared" ref="AU3:AU15" si="8">IF(AT3="no list","",AT3/S3)</f>
        <v>#DIV/0!</v>
      </c>
      <c r="AV3" s="20"/>
      <c r="AW3" s="24" t="e">
        <f t="shared" ref="AW3:AW15" si="9">IF(OR(AV3="no number",AV3="no range"),"",AV3/S3)</f>
        <v>#DIV/0!</v>
      </c>
      <c r="AX3" s="30"/>
      <c r="AY3" s="32" t="e">
        <f>IF(OR(AX3="no fk",AX3="err",AX3="no table/field",),"",AX3/S3)</f>
        <v>#DIV/0!</v>
      </c>
    </row>
    <row r="4" spans="1:53" s="1" customFormat="1" ht="15.5" customHeight="1" x14ac:dyDescent="0.35">
      <c r="A4" s="25" t="s">
        <v>10</v>
      </c>
      <c r="B4" s="25" t="s">
        <v>65</v>
      </c>
      <c r="C4" s="8" t="s">
        <v>66</v>
      </c>
      <c r="D4" s="8" t="s">
        <v>45</v>
      </c>
      <c r="E4" s="8" t="s">
        <v>62</v>
      </c>
      <c r="F4" s="8"/>
      <c r="G4" s="9" t="s">
        <v>63</v>
      </c>
      <c r="H4" s="9" t="s">
        <v>63</v>
      </c>
      <c r="I4" s="9"/>
      <c r="J4" s="9"/>
      <c r="K4" s="9" t="s">
        <v>63</v>
      </c>
      <c r="L4" s="9" t="s">
        <v>63</v>
      </c>
      <c r="M4" s="9" t="s">
        <v>63</v>
      </c>
      <c r="N4" s="9" t="s">
        <v>63</v>
      </c>
      <c r="O4" s="9" t="s">
        <v>14</v>
      </c>
      <c r="P4" s="9"/>
      <c r="Q4" s="9"/>
      <c r="R4" s="9"/>
      <c r="S4" s="9"/>
      <c r="T4" s="16"/>
      <c r="U4" s="23" t="e">
        <f t="shared" si="0"/>
        <v>#DIV/0!</v>
      </c>
      <c r="V4" s="16"/>
      <c r="W4" s="23" t="e">
        <f t="shared" si="1"/>
        <v>#DIV/0!</v>
      </c>
      <c r="X4" s="16"/>
      <c r="Y4" s="23" t="e">
        <f t="shared" si="2"/>
        <v>#DIV/0!</v>
      </c>
      <c r="Z4" s="16"/>
      <c r="AA4" s="23" t="e">
        <f t="shared" si="3"/>
        <v>#DIV/0!</v>
      </c>
      <c r="AB4" s="16"/>
      <c r="AC4" s="23" t="e">
        <f t="shared" si="4"/>
        <v>#DIV/0!</v>
      </c>
      <c r="AD4" s="27"/>
      <c r="AE4" s="23" t="e">
        <f t="shared" si="5"/>
        <v>#DIV/0!</v>
      </c>
      <c r="AF4" s="17"/>
      <c r="AG4" s="17"/>
      <c r="AH4" s="18"/>
      <c r="AI4" s="18"/>
      <c r="AJ4" s="17"/>
      <c r="AK4" s="21" t="e">
        <f t="shared" si="6"/>
        <v>#DIV/0!</v>
      </c>
      <c r="AL4" s="17"/>
      <c r="AM4" s="17"/>
      <c r="AN4" s="21" t="e">
        <f t="shared" ref="AN4:AN15" si="10">AM4/S4</f>
        <v>#DIV/0!</v>
      </c>
      <c r="AO4" s="17"/>
      <c r="AP4" s="17"/>
      <c r="AQ4" s="17"/>
      <c r="AR4" s="20"/>
      <c r="AS4" s="24" t="e">
        <f t="shared" si="7"/>
        <v>#DIV/0!</v>
      </c>
      <c r="AT4" s="20"/>
      <c r="AU4" s="24" t="e">
        <f t="shared" si="8"/>
        <v>#DIV/0!</v>
      </c>
      <c r="AV4" s="20"/>
      <c r="AW4" s="24" t="e">
        <f t="shared" si="9"/>
        <v>#DIV/0!</v>
      </c>
      <c r="AX4" s="30"/>
      <c r="AY4" s="32" t="e">
        <f t="shared" ref="AY4:AY15" si="11">IF(OR(AX4="no fk",AX4="err",AX4="no table/field",),"",AX4/S4)</f>
        <v>#DIV/0!</v>
      </c>
    </row>
    <row r="5" spans="1:53" ht="15.5" customHeight="1" x14ac:dyDescent="0.35">
      <c r="A5" s="25" t="s">
        <v>15</v>
      </c>
      <c r="B5" s="25" t="s">
        <v>67</v>
      </c>
      <c r="C5" s="8" t="s">
        <v>68</v>
      </c>
      <c r="D5" s="8" t="s">
        <v>43</v>
      </c>
      <c r="E5" s="8" t="s">
        <v>62</v>
      </c>
      <c r="F5" s="8"/>
      <c r="G5" s="9" t="s">
        <v>14</v>
      </c>
      <c r="H5" s="9" t="s">
        <v>63</v>
      </c>
      <c r="I5" s="9"/>
      <c r="J5" s="9"/>
      <c r="K5" s="9" t="s">
        <v>63</v>
      </c>
      <c r="L5" s="9" t="s">
        <v>63</v>
      </c>
      <c r="M5" s="9" t="s">
        <v>63</v>
      </c>
      <c r="N5" s="9" t="s">
        <v>63</v>
      </c>
      <c r="O5" s="9" t="s">
        <v>14</v>
      </c>
      <c r="P5" s="9"/>
      <c r="Q5" s="9"/>
      <c r="R5" s="9" t="s">
        <v>69</v>
      </c>
      <c r="S5" s="9"/>
      <c r="T5" s="16"/>
      <c r="U5" s="23" t="e">
        <f t="shared" si="0"/>
        <v>#DIV/0!</v>
      </c>
      <c r="V5" s="16"/>
      <c r="W5" s="23" t="e">
        <f t="shared" si="1"/>
        <v>#DIV/0!</v>
      </c>
      <c r="X5" s="16"/>
      <c r="Y5" s="23" t="e">
        <f t="shared" si="2"/>
        <v>#DIV/0!</v>
      </c>
      <c r="Z5" s="16"/>
      <c r="AA5" s="23" t="e">
        <f t="shared" si="3"/>
        <v>#DIV/0!</v>
      </c>
      <c r="AB5" s="16"/>
      <c r="AC5" s="23" t="e">
        <f t="shared" si="4"/>
        <v>#DIV/0!</v>
      </c>
      <c r="AD5" s="27"/>
      <c r="AE5" s="23" t="e">
        <f t="shared" si="5"/>
        <v>#DIV/0!</v>
      </c>
      <c r="AF5" s="17"/>
      <c r="AG5" s="17"/>
      <c r="AH5" s="18"/>
      <c r="AI5" s="18"/>
      <c r="AJ5" s="17"/>
      <c r="AK5" s="21" t="e">
        <f t="shared" si="6"/>
        <v>#DIV/0!</v>
      </c>
      <c r="AL5" s="17"/>
      <c r="AM5" s="17"/>
      <c r="AN5" s="21" t="e">
        <f t="shared" si="10"/>
        <v>#DIV/0!</v>
      </c>
      <c r="AO5" s="17"/>
      <c r="AP5" s="17"/>
      <c r="AQ5" s="17"/>
      <c r="AR5" s="20"/>
      <c r="AS5" s="24" t="e">
        <f t="shared" si="7"/>
        <v>#DIV/0!</v>
      </c>
      <c r="AT5" s="20"/>
      <c r="AU5" s="24" t="e">
        <f t="shared" si="8"/>
        <v>#DIV/0!</v>
      </c>
      <c r="AV5" s="20"/>
      <c r="AW5" s="24" t="e">
        <f t="shared" si="9"/>
        <v>#DIV/0!</v>
      </c>
      <c r="AX5" s="31"/>
      <c r="AY5" s="32" t="e">
        <f t="shared" si="11"/>
        <v>#DIV/0!</v>
      </c>
    </row>
    <row r="6" spans="1:53" ht="15.5" customHeight="1" x14ac:dyDescent="0.35">
      <c r="A6" s="25" t="s">
        <v>15</v>
      </c>
      <c r="B6" s="25" t="s">
        <v>70</v>
      </c>
      <c r="C6" s="8" t="s">
        <v>71</v>
      </c>
      <c r="D6" s="8" t="s">
        <v>45</v>
      </c>
      <c r="E6" s="8" t="s">
        <v>62</v>
      </c>
      <c r="F6" s="8"/>
      <c r="G6" s="9" t="s">
        <v>63</v>
      </c>
      <c r="H6" s="9" t="s">
        <v>63</v>
      </c>
      <c r="I6" s="9"/>
      <c r="J6" s="10"/>
      <c r="K6" s="9" t="s">
        <v>63</v>
      </c>
      <c r="L6" s="9" t="s">
        <v>63</v>
      </c>
      <c r="M6" s="9" t="s">
        <v>63</v>
      </c>
      <c r="N6" s="9" t="s">
        <v>63</v>
      </c>
      <c r="O6" s="9" t="s">
        <v>14</v>
      </c>
      <c r="P6" s="9"/>
      <c r="Q6" s="9"/>
      <c r="R6" s="9"/>
      <c r="S6" s="9"/>
      <c r="T6" s="16"/>
      <c r="U6" s="23" t="e">
        <f t="shared" si="0"/>
        <v>#DIV/0!</v>
      </c>
      <c r="V6" s="16"/>
      <c r="W6" s="23" t="e">
        <f t="shared" si="1"/>
        <v>#DIV/0!</v>
      </c>
      <c r="X6" s="16"/>
      <c r="Y6" s="23" t="e">
        <f t="shared" si="2"/>
        <v>#DIV/0!</v>
      </c>
      <c r="Z6" s="16"/>
      <c r="AA6" s="23" t="e">
        <f t="shared" si="3"/>
        <v>#DIV/0!</v>
      </c>
      <c r="AB6" s="16"/>
      <c r="AC6" s="23" t="e">
        <f t="shared" si="4"/>
        <v>#DIV/0!</v>
      </c>
      <c r="AD6" s="27"/>
      <c r="AE6" s="23" t="e">
        <f t="shared" si="5"/>
        <v>#DIV/0!</v>
      </c>
      <c r="AF6" s="17"/>
      <c r="AG6" s="17"/>
      <c r="AH6" s="18"/>
      <c r="AI6" s="18"/>
      <c r="AJ6" s="17"/>
      <c r="AK6" s="21" t="e">
        <f t="shared" si="6"/>
        <v>#DIV/0!</v>
      </c>
      <c r="AL6" s="17"/>
      <c r="AM6" s="17"/>
      <c r="AN6" s="21" t="e">
        <f t="shared" si="10"/>
        <v>#DIV/0!</v>
      </c>
      <c r="AO6" s="17"/>
      <c r="AP6" s="17"/>
      <c r="AQ6" s="17"/>
      <c r="AR6" s="20"/>
      <c r="AS6" s="24" t="e">
        <f t="shared" si="7"/>
        <v>#DIV/0!</v>
      </c>
      <c r="AT6" s="20"/>
      <c r="AU6" s="24" t="e">
        <f t="shared" si="8"/>
        <v>#DIV/0!</v>
      </c>
      <c r="AV6" s="20"/>
      <c r="AW6" s="24" t="e">
        <f t="shared" si="9"/>
        <v>#DIV/0!</v>
      </c>
      <c r="AX6" s="31"/>
      <c r="AY6" s="32" t="e">
        <f t="shared" si="11"/>
        <v>#DIV/0!</v>
      </c>
      <c r="BA6" s="14"/>
    </row>
    <row r="7" spans="1:53" ht="15.5" x14ac:dyDescent="0.35">
      <c r="A7" s="25" t="s">
        <v>18</v>
      </c>
      <c r="B7" s="25" t="s">
        <v>60</v>
      </c>
      <c r="C7" s="8" t="s">
        <v>72</v>
      </c>
      <c r="D7" s="8" t="s">
        <v>43</v>
      </c>
      <c r="E7" s="8" t="s">
        <v>62</v>
      </c>
      <c r="F7" s="8"/>
      <c r="G7" s="15" t="s">
        <v>14</v>
      </c>
      <c r="H7" s="15" t="s">
        <v>14</v>
      </c>
      <c r="I7" s="15" t="s">
        <v>10</v>
      </c>
      <c r="J7" s="15" t="s">
        <v>60</v>
      </c>
      <c r="K7" s="15" t="s">
        <v>63</v>
      </c>
      <c r="L7" s="15" t="s">
        <v>63</v>
      </c>
      <c r="M7" s="15" t="s">
        <v>63</v>
      </c>
      <c r="N7" s="15" t="s">
        <v>63</v>
      </c>
      <c r="O7" s="15" t="s">
        <v>63</v>
      </c>
      <c r="P7" s="15"/>
      <c r="Q7" s="15"/>
      <c r="R7" s="15"/>
      <c r="S7" s="9"/>
      <c r="T7" s="16"/>
      <c r="U7" s="23" t="e">
        <f t="shared" si="0"/>
        <v>#DIV/0!</v>
      </c>
      <c r="V7" s="16"/>
      <c r="W7" s="23" t="e">
        <f t="shared" si="1"/>
        <v>#DIV/0!</v>
      </c>
      <c r="X7" s="16"/>
      <c r="Y7" s="23" t="e">
        <f t="shared" si="2"/>
        <v>#DIV/0!</v>
      </c>
      <c r="Z7" s="16"/>
      <c r="AA7" s="23" t="e">
        <f t="shared" si="3"/>
        <v>#DIV/0!</v>
      </c>
      <c r="AB7" s="16"/>
      <c r="AC7" s="23" t="e">
        <f t="shared" si="4"/>
        <v>#DIV/0!</v>
      </c>
      <c r="AD7" s="27"/>
      <c r="AE7" s="23" t="e">
        <f t="shared" si="5"/>
        <v>#DIV/0!</v>
      </c>
      <c r="AF7" s="17"/>
      <c r="AG7" s="17"/>
      <c r="AH7" s="18"/>
      <c r="AI7" s="18"/>
      <c r="AJ7" s="17"/>
      <c r="AK7" s="21" t="e">
        <f t="shared" si="6"/>
        <v>#DIV/0!</v>
      </c>
      <c r="AL7" s="17"/>
      <c r="AM7" s="17"/>
      <c r="AN7" s="21" t="e">
        <f t="shared" si="10"/>
        <v>#DIV/0!</v>
      </c>
      <c r="AO7" s="17"/>
      <c r="AP7" s="17"/>
      <c r="AQ7" s="17"/>
      <c r="AR7" s="20"/>
      <c r="AS7" s="24" t="e">
        <f t="shared" si="7"/>
        <v>#DIV/0!</v>
      </c>
      <c r="AT7" s="20"/>
      <c r="AU7" s="24" t="e">
        <f t="shared" si="8"/>
        <v>#DIV/0!</v>
      </c>
      <c r="AV7" s="20"/>
      <c r="AW7" s="24" t="e">
        <f t="shared" si="9"/>
        <v>#DIV/0!</v>
      </c>
      <c r="AX7" s="31"/>
      <c r="AY7" s="32" t="e">
        <f t="shared" si="11"/>
        <v>#DIV/0!</v>
      </c>
    </row>
    <row r="8" spans="1:53" ht="15.5" x14ac:dyDescent="0.35">
      <c r="A8" s="25" t="s">
        <v>18</v>
      </c>
      <c r="B8" s="25" t="s">
        <v>67</v>
      </c>
      <c r="C8" s="8" t="s">
        <v>73</v>
      </c>
      <c r="D8" s="8" t="s">
        <v>43</v>
      </c>
      <c r="E8" s="8" t="s">
        <v>62</v>
      </c>
      <c r="F8" s="8"/>
      <c r="G8" s="15" t="s">
        <v>14</v>
      </c>
      <c r="H8" s="15" t="s">
        <v>14</v>
      </c>
      <c r="I8" s="15" t="s">
        <v>15</v>
      </c>
      <c r="J8" s="15" t="s">
        <v>67</v>
      </c>
      <c r="K8" s="15" t="s">
        <v>63</v>
      </c>
      <c r="L8" s="15" t="s">
        <v>63</v>
      </c>
      <c r="M8" s="15" t="s">
        <v>63</v>
      </c>
      <c r="N8" s="15" t="s">
        <v>63</v>
      </c>
      <c r="O8" s="15" t="s">
        <v>63</v>
      </c>
      <c r="P8" s="15"/>
      <c r="Q8" s="15"/>
      <c r="R8" s="15"/>
      <c r="S8" s="9"/>
      <c r="T8" s="16"/>
      <c r="U8" s="23" t="e">
        <f t="shared" si="0"/>
        <v>#DIV/0!</v>
      </c>
      <c r="V8" s="16"/>
      <c r="W8" s="23" t="e">
        <f t="shared" si="1"/>
        <v>#DIV/0!</v>
      </c>
      <c r="X8" s="16"/>
      <c r="Y8" s="23" t="e">
        <f t="shared" si="2"/>
        <v>#DIV/0!</v>
      </c>
      <c r="Z8" s="16"/>
      <c r="AA8" s="23" t="e">
        <f t="shared" si="3"/>
        <v>#DIV/0!</v>
      </c>
      <c r="AB8" s="16"/>
      <c r="AC8" s="23" t="e">
        <f t="shared" si="4"/>
        <v>#DIV/0!</v>
      </c>
      <c r="AD8" s="27"/>
      <c r="AE8" s="23" t="e">
        <f t="shared" si="5"/>
        <v>#DIV/0!</v>
      </c>
      <c r="AF8" s="17"/>
      <c r="AG8" s="17"/>
      <c r="AH8" s="18"/>
      <c r="AI8" s="18"/>
      <c r="AJ8" s="17"/>
      <c r="AK8" s="21" t="e">
        <f t="shared" si="6"/>
        <v>#DIV/0!</v>
      </c>
      <c r="AL8" s="17"/>
      <c r="AM8" s="17"/>
      <c r="AN8" s="21" t="e">
        <f t="shared" si="10"/>
        <v>#DIV/0!</v>
      </c>
      <c r="AO8" s="17"/>
      <c r="AP8" s="17"/>
      <c r="AQ8" s="17"/>
      <c r="AR8" s="20"/>
      <c r="AS8" s="24" t="e">
        <f t="shared" si="7"/>
        <v>#DIV/0!</v>
      </c>
      <c r="AT8" s="20"/>
      <c r="AU8" s="24" t="e">
        <f t="shared" si="8"/>
        <v>#DIV/0!</v>
      </c>
      <c r="AV8" s="20"/>
      <c r="AW8" s="24" t="e">
        <f t="shared" si="9"/>
        <v>#DIV/0!</v>
      </c>
      <c r="AX8" s="31"/>
      <c r="AY8" s="32" t="e">
        <f t="shared" si="11"/>
        <v>#DIV/0!</v>
      </c>
    </row>
    <row r="9" spans="1:53" ht="15.5" x14ac:dyDescent="0.35">
      <c r="A9" s="25" t="s">
        <v>18</v>
      </c>
      <c r="B9" s="25" t="s">
        <v>74</v>
      </c>
      <c r="C9" s="8" t="s">
        <v>75</v>
      </c>
      <c r="D9" s="8" t="s">
        <v>43</v>
      </c>
      <c r="E9" s="8" t="s">
        <v>62</v>
      </c>
      <c r="F9" s="8" t="s">
        <v>76</v>
      </c>
      <c r="G9" s="15" t="s">
        <v>14</v>
      </c>
      <c r="H9" s="15" t="s">
        <v>63</v>
      </c>
      <c r="I9" s="15"/>
      <c r="J9" s="15"/>
      <c r="K9" s="15" t="s">
        <v>63</v>
      </c>
      <c r="L9" s="15" t="s">
        <v>63</v>
      </c>
      <c r="M9" s="15" t="s">
        <v>63</v>
      </c>
      <c r="N9" s="15" t="s">
        <v>63</v>
      </c>
      <c r="O9" s="15" t="s">
        <v>63</v>
      </c>
      <c r="P9" s="11" t="s">
        <v>77</v>
      </c>
      <c r="Q9" s="15"/>
      <c r="R9" s="15"/>
      <c r="S9" s="9"/>
      <c r="T9" s="16"/>
      <c r="U9" s="23" t="e">
        <f t="shared" si="0"/>
        <v>#DIV/0!</v>
      </c>
      <c r="V9" s="16"/>
      <c r="W9" s="23" t="e">
        <f t="shared" si="1"/>
        <v>#DIV/0!</v>
      </c>
      <c r="X9" s="16"/>
      <c r="Y9" s="23" t="e">
        <f t="shared" si="2"/>
        <v>#DIV/0!</v>
      </c>
      <c r="Z9" s="16"/>
      <c r="AA9" s="23" t="e">
        <f t="shared" si="3"/>
        <v>#DIV/0!</v>
      </c>
      <c r="AB9" s="16"/>
      <c r="AC9" s="23" t="e">
        <f t="shared" si="4"/>
        <v>#DIV/0!</v>
      </c>
      <c r="AD9" s="27"/>
      <c r="AE9" s="23" t="e">
        <f t="shared" si="5"/>
        <v>#DIV/0!</v>
      </c>
      <c r="AF9" s="17"/>
      <c r="AG9" s="17"/>
      <c r="AH9" s="18"/>
      <c r="AI9" s="18"/>
      <c r="AJ9" s="17"/>
      <c r="AK9" s="21" t="e">
        <f t="shared" si="6"/>
        <v>#DIV/0!</v>
      </c>
      <c r="AL9" s="17"/>
      <c r="AM9" s="17"/>
      <c r="AN9" s="21" t="e">
        <f t="shared" si="10"/>
        <v>#DIV/0!</v>
      </c>
      <c r="AO9" s="17"/>
      <c r="AP9" s="17"/>
      <c r="AQ9" s="17"/>
      <c r="AR9" s="20"/>
      <c r="AS9" s="24" t="e">
        <f t="shared" si="7"/>
        <v>#DIV/0!</v>
      </c>
      <c r="AT9" s="20"/>
      <c r="AU9" s="24" t="e">
        <f t="shared" si="8"/>
        <v>#DIV/0!</v>
      </c>
      <c r="AV9" s="20"/>
      <c r="AW9" s="24" t="e">
        <f t="shared" si="9"/>
        <v>#DIV/0!</v>
      </c>
      <c r="AX9" s="31"/>
      <c r="AY9" s="32" t="e">
        <f t="shared" si="11"/>
        <v>#DIV/0!</v>
      </c>
    </row>
    <row r="10" spans="1:53" ht="15.5" x14ac:dyDescent="0.35">
      <c r="A10" s="25" t="s">
        <v>18</v>
      </c>
      <c r="B10" s="25" t="s">
        <v>78</v>
      </c>
      <c r="C10" s="8" t="s">
        <v>79</v>
      </c>
      <c r="D10" s="8" t="s">
        <v>44</v>
      </c>
      <c r="E10" s="8" t="s">
        <v>62</v>
      </c>
      <c r="F10" s="8"/>
      <c r="G10" s="15" t="s">
        <v>63</v>
      </c>
      <c r="H10" s="15" t="s">
        <v>63</v>
      </c>
      <c r="I10" s="15"/>
      <c r="J10" s="15"/>
      <c r="K10" s="15" t="s">
        <v>63</v>
      </c>
      <c r="L10" s="15" t="s">
        <v>63</v>
      </c>
      <c r="M10" s="15" t="s">
        <v>14</v>
      </c>
      <c r="N10" s="15" t="s">
        <v>14</v>
      </c>
      <c r="O10" s="15" t="s">
        <v>63</v>
      </c>
      <c r="P10" s="15"/>
      <c r="Q10" s="15"/>
      <c r="R10" s="15"/>
      <c r="S10" s="9"/>
      <c r="T10" s="16"/>
      <c r="U10" s="23" t="e">
        <f t="shared" si="0"/>
        <v>#DIV/0!</v>
      </c>
      <c r="V10" s="16"/>
      <c r="W10" s="23" t="e">
        <f t="shared" si="1"/>
        <v>#DIV/0!</v>
      </c>
      <c r="X10" s="16"/>
      <c r="Y10" s="23" t="e">
        <f t="shared" si="2"/>
        <v>#DIV/0!</v>
      </c>
      <c r="Z10" s="16"/>
      <c r="AA10" s="23" t="e">
        <f t="shared" si="3"/>
        <v>#DIV/0!</v>
      </c>
      <c r="AB10" s="16"/>
      <c r="AC10" s="23" t="e">
        <f t="shared" si="4"/>
        <v>#DIV/0!</v>
      </c>
      <c r="AD10" s="27"/>
      <c r="AE10" s="23" t="e">
        <f t="shared" si="5"/>
        <v>#DIV/0!</v>
      </c>
      <c r="AF10" s="17"/>
      <c r="AG10" s="17"/>
      <c r="AH10" s="18"/>
      <c r="AI10" s="18"/>
      <c r="AJ10" s="17"/>
      <c r="AK10" s="21" t="e">
        <f t="shared" si="6"/>
        <v>#DIV/0!</v>
      </c>
      <c r="AL10" s="17"/>
      <c r="AM10" s="17"/>
      <c r="AN10" s="21" t="e">
        <f t="shared" si="10"/>
        <v>#DIV/0!</v>
      </c>
      <c r="AO10" s="17"/>
      <c r="AP10" s="17"/>
      <c r="AQ10" s="17"/>
      <c r="AR10" s="20"/>
      <c r="AS10" s="24" t="e">
        <f t="shared" si="7"/>
        <v>#DIV/0!</v>
      </c>
      <c r="AT10" s="20"/>
      <c r="AU10" s="24" t="e">
        <f t="shared" si="8"/>
        <v>#DIV/0!</v>
      </c>
      <c r="AV10" s="20"/>
      <c r="AW10" s="24" t="e">
        <f t="shared" si="9"/>
        <v>#DIV/0!</v>
      </c>
      <c r="AX10" s="31"/>
      <c r="AY10" s="32" t="e">
        <f t="shared" si="11"/>
        <v>#DIV/0!</v>
      </c>
    </row>
    <row r="11" spans="1:53" ht="15.5" x14ac:dyDescent="0.35">
      <c r="A11" s="25" t="s">
        <v>18</v>
      </c>
      <c r="B11" s="25" t="s">
        <v>80</v>
      </c>
      <c r="C11" s="8" t="s">
        <v>81</v>
      </c>
      <c r="D11" s="8" t="s">
        <v>44</v>
      </c>
      <c r="E11" s="8" t="s">
        <v>62</v>
      </c>
      <c r="F11" s="8"/>
      <c r="G11" s="15" t="s">
        <v>63</v>
      </c>
      <c r="H11" s="15" t="s">
        <v>63</v>
      </c>
      <c r="I11" s="15"/>
      <c r="J11" s="15"/>
      <c r="K11" s="15" t="s">
        <v>63</v>
      </c>
      <c r="L11" s="15" t="s">
        <v>63</v>
      </c>
      <c r="M11" s="15" t="s">
        <v>14</v>
      </c>
      <c r="N11" s="15" t="s">
        <v>14</v>
      </c>
      <c r="O11" s="15" t="s">
        <v>63</v>
      </c>
      <c r="P11" s="15"/>
      <c r="Q11" s="15"/>
      <c r="R11" s="15"/>
      <c r="S11" s="9"/>
      <c r="T11" s="16"/>
      <c r="U11" s="23" t="e">
        <f t="shared" si="0"/>
        <v>#DIV/0!</v>
      </c>
      <c r="V11" s="16"/>
      <c r="W11" s="23" t="e">
        <f t="shared" si="1"/>
        <v>#DIV/0!</v>
      </c>
      <c r="X11" s="16"/>
      <c r="Y11" s="23" t="e">
        <f t="shared" si="2"/>
        <v>#DIV/0!</v>
      </c>
      <c r="Z11" s="16"/>
      <c r="AA11" s="23" t="e">
        <f t="shared" si="3"/>
        <v>#DIV/0!</v>
      </c>
      <c r="AB11" s="16"/>
      <c r="AC11" s="23" t="e">
        <f t="shared" si="4"/>
        <v>#DIV/0!</v>
      </c>
      <c r="AD11" s="27"/>
      <c r="AE11" s="23" t="e">
        <f t="shared" si="5"/>
        <v>#DIV/0!</v>
      </c>
      <c r="AF11" s="17"/>
      <c r="AG11" s="17"/>
      <c r="AH11" s="18"/>
      <c r="AI11" s="18"/>
      <c r="AJ11" s="17"/>
      <c r="AK11" s="21" t="e">
        <f t="shared" si="6"/>
        <v>#DIV/0!</v>
      </c>
      <c r="AL11" s="17"/>
      <c r="AM11" s="17"/>
      <c r="AN11" s="21" t="e">
        <f t="shared" si="10"/>
        <v>#DIV/0!</v>
      </c>
      <c r="AO11" s="17"/>
      <c r="AP11" s="17"/>
      <c r="AQ11" s="17"/>
      <c r="AR11" s="20"/>
      <c r="AS11" s="24" t="e">
        <f t="shared" si="7"/>
        <v>#DIV/0!</v>
      </c>
      <c r="AT11" s="20"/>
      <c r="AU11" s="24" t="e">
        <f t="shared" si="8"/>
        <v>#DIV/0!</v>
      </c>
      <c r="AV11" s="20"/>
      <c r="AW11" s="24" t="e">
        <f t="shared" si="9"/>
        <v>#DIV/0!</v>
      </c>
      <c r="AX11" s="31"/>
      <c r="AY11" s="32" t="e">
        <f t="shared" si="11"/>
        <v>#DIV/0!</v>
      </c>
    </row>
    <row r="12" spans="1:53" ht="15.5" x14ac:dyDescent="0.35">
      <c r="A12" s="25" t="s">
        <v>18</v>
      </c>
      <c r="B12" s="25" t="s">
        <v>82</v>
      </c>
      <c r="C12" s="8" t="s">
        <v>83</v>
      </c>
      <c r="D12" s="8" t="s">
        <v>44</v>
      </c>
      <c r="E12" s="8" t="s">
        <v>62</v>
      </c>
      <c r="F12" s="8"/>
      <c r="G12" s="15" t="s">
        <v>63</v>
      </c>
      <c r="H12" s="15" t="s">
        <v>63</v>
      </c>
      <c r="I12" s="15"/>
      <c r="J12" s="15"/>
      <c r="K12" s="15" t="s">
        <v>63</v>
      </c>
      <c r="L12" s="15" t="s">
        <v>63</v>
      </c>
      <c r="M12" s="15" t="s">
        <v>14</v>
      </c>
      <c r="N12" s="15" t="s">
        <v>14</v>
      </c>
      <c r="O12" s="15" t="s">
        <v>63</v>
      </c>
      <c r="P12" s="15"/>
      <c r="Q12" s="15"/>
      <c r="R12" s="15"/>
      <c r="S12" s="9"/>
      <c r="T12" s="16"/>
      <c r="U12" s="23" t="e">
        <f t="shared" si="0"/>
        <v>#DIV/0!</v>
      </c>
      <c r="V12" s="16"/>
      <c r="W12" s="23" t="e">
        <f t="shared" si="1"/>
        <v>#DIV/0!</v>
      </c>
      <c r="X12" s="16"/>
      <c r="Y12" s="23" t="e">
        <f t="shared" si="2"/>
        <v>#DIV/0!</v>
      </c>
      <c r="Z12" s="16"/>
      <c r="AA12" s="23" t="e">
        <f t="shared" si="3"/>
        <v>#DIV/0!</v>
      </c>
      <c r="AB12" s="16"/>
      <c r="AC12" s="23" t="e">
        <f t="shared" si="4"/>
        <v>#DIV/0!</v>
      </c>
      <c r="AD12" s="27"/>
      <c r="AE12" s="23" t="e">
        <f t="shared" si="5"/>
        <v>#DIV/0!</v>
      </c>
      <c r="AF12" s="17"/>
      <c r="AG12" s="19"/>
      <c r="AH12" s="18"/>
      <c r="AI12" s="18"/>
      <c r="AJ12" s="17"/>
      <c r="AK12" s="21" t="e">
        <f t="shared" si="6"/>
        <v>#DIV/0!</v>
      </c>
      <c r="AL12" s="17"/>
      <c r="AM12" s="17"/>
      <c r="AN12" s="21" t="e">
        <f t="shared" si="10"/>
        <v>#DIV/0!</v>
      </c>
      <c r="AO12" s="17"/>
      <c r="AP12" s="17"/>
      <c r="AQ12" s="17"/>
      <c r="AR12" s="20"/>
      <c r="AS12" s="24" t="e">
        <f t="shared" si="7"/>
        <v>#DIV/0!</v>
      </c>
      <c r="AT12" s="20"/>
      <c r="AU12" s="24" t="e">
        <f t="shared" si="8"/>
        <v>#DIV/0!</v>
      </c>
      <c r="AV12" s="20"/>
      <c r="AW12" s="24" t="e">
        <f t="shared" si="9"/>
        <v>#DIV/0!</v>
      </c>
      <c r="AX12" s="31"/>
      <c r="AY12" s="32" t="e">
        <f t="shared" si="11"/>
        <v>#DIV/0!</v>
      </c>
    </row>
    <row r="13" spans="1:53" ht="15.5" x14ac:dyDescent="0.35">
      <c r="A13" s="25" t="s">
        <v>18</v>
      </c>
      <c r="B13" s="25" t="s">
        <v>84</v>
      </c>
      <c r="C13" s="8" t="s">
        <v>85</v>
      </c>
      <c r="D13" s="8" t="s">
        <v>44</v>
      </c>
      <c r="E13" s="8" t="s">
        <v>62</v>
      </c>
      <c r="F13" s="8"/>
      <c r="G13" s="15" t="s">
        <v>63</v>
      </c>
      <c r="H13" s="15" t="s">
        <v>63</v>
      </c>
      <c r="I13" s="15"/>
      <c r="J13" s="15"/>
      <c r="K13" s="15" t="s">
        <v>63</v>
      </c>
      <c r="L13" s="15" t="s">
        <v>63</v>
      </c>
      <c r="M13" s="15" t="s">
        <v>14</v>
      </c>
      <c r="N13" s="15" t="s">
        <v>14</v>
      </c>
      <c r="O13" s="15" t="s">
        <v>63</v>
      </c>
      <c r="P13" s="15"/>
      <c r="Q13" s="15"/>
      <c r="R13" s="15"/>
      <c r="S13" s="9"/>
      <c r="T13" s="16"/>
      <c r="U13" s="23" t="e">
        <f t="shared" si="0"/>
        <v>#DIV/0!</v>
      </c>
      <c r="V13" s="16"/>
      <c r="W13" s="23" t="e">
        <f t="shared" si="1"/>
        <v>#DIV/0!</v>
      </c>
      <c r="X13" s="16"/>
      <c r="Y13" s="23" t="e">
        <f t="shared" si="2"/>
        <v>#DIV/0!</v>
      </c>
      <c r="Z13" s="16"/>
      <c r="AA13" s="23" t="e">
        <f t="shared" si="3"/>
        <v>#DIV/0!</v>
      </c>
      <c r="AB13" s="16"/>
      <c r="AC13" s="23" t="e">
        <f t="shared" si="4"/>
        <v>#DIV/0!</v>
      </c>
      <c r="AD13" s="27"/>
      <c r="AE13" s="23" t="e">
        <f t="shared" si="5"/>
        <v>#DIV/0!</v>
      </c>
      <c r="AF13" s="17"/>
      <c r="AG13" s="17"/>
      <c r="AH13" s="18"/>
      <c r="AI13" s="18"/>
      <c r="AJ13" s="17"/>
      <c r="AK13" s="21" t="e">
        <f t="shared" si="6"/>
        <v>#DIV/0!</v>
      </c>
      <c r="AL13" s="17"/>
      <c r="AM13" s="17"/>
      <c r="AN13" s="21" t="e">
        <f t="shared" si="10"/>
        <v>#DIV/0!</v>
      </c>
      <c r="AO13" s="17"/>
      <c r="AP13" s="17"/>
      <c r="AQ13" s="17"/>
      <c r="AR13" s="20"/>
      <c r="AS13" s="24" t="e">
        <f t="shared" si="7"/>
        <v>#DIV/0!</v>
      </c>
      <c r="AT13" s="20"/>
      <c r="AU13" s="24" t="e">
        <f t="shared" si="8"/>
        <v>#DIV/0!</v>
      </c>
      <c r="AV13" s="20"/>
      <c r="AW13" s="24" t="e">
        <f t="shared" si="9"/>
        <v>#DIV/0!</v>
      </c>
      <c r="AX13" s="31"/>
      <c r="AY13" s="32" t="e">
        <f t="shared" si="11"/>
        <v>#DIV/0!</v>
      </c>
    </row>
    <row r="14" spans="1:53" ht="15.5" x14ac:dyDescent="0.35">
      <c r="A14" s="25" t="s">
        <v>18</v>
      </c>
      <c r="B14" s="25" t="s">
        <v>86</v>
      </c>
      <c r="C14" s="8" t="s">
        <v>87</v>
      </c>
      <c r="D14" s="8" t="s">
        <v>44</v>
      </c>
      <c r="E14" s="8" t="s">
        <v>62</v>
      </c>
      <c r="F14" s="8"/>
      <c r="G14" s="15" t="s">
        <v>63</v>
      </c>
      <c r="H14" s="15" t="s">
        <v>63</v>
      </c>
      <c r="I14" s="15"/>
      <c r="J14" s="15"/>
      <c r="K14" s="15" t="s">
        <v>63</v>
      </c>
      <c r="L14" s="15" t="s">
        <v>63</v>
      </c>
      <c r="M14" s="15" t="s">
        <v>14</v>
      </c>
      <c r="N14" s="15" t="s">
        <v>14</v>
      </c>
      <c r="O14" s="15" t="s">
        <v>63</v>
      </c>
      <c r="P14" s="15"/>
      <c r="Q14" s="15"/>
      <c r="R14" s="15"/>
      <c r="S14" s="9"/>
      <c r="T14" s="16"/>
      <c r="U14" s="23" t="e">
        <f t="shared" si="0"/>
        <v>#DIV/0!</v>
      </c>
      <c r="V14" s="16"/>
      <c r="W14" s="23" t="e">
        <f t="shared" si="1"/>
        <v>#DIV/0!</v>
      </c>
      <c r="X14" s="16"/>
      <c r="Y14" s="23" t="e">
        <f t="shared" si="2"/>
        <v>#DIV/0!</v>
      </c>
      <c r="Z14" s="16"/>
      <c r="AA14" s="23" t="e">
        <f t="shared" si="3"/>
        <v>#DIV/0!</v>
      </c>
      <c r="AB14" s="16"/>
      <c r="AC14" s="23" t="e">
        <f t="shared" si="4"/>
        <v>#DIV/0!</v>
      </c>
      <c r="AD14" s="27"/>
      <c r="AE14" s="23" t="e">
        <f t="shared" si="5"/>
        <v>#DIV/0!</v>
      </c>
      <c r="AF14" s="17"/>
      <c r="AG14" s="17"/>
      <c r="AH14" s="18"/>
      <c r="AI14" s="18"/>
      <c r="AJ14" s="17"/>
      <c r="AK14" s="21" t="e">
        <f t="shared" si="6"/>
        <v>#DIV/0!</v>
      </c>
      <c r="AL14" s="17"/>
      <c r="AM14" s="17"/>
      <c r="AN14" s="21" t="e">
        <f t="shared" si="10"/>
        <v>#DIV/0!</v>
      </c>
      <c r="AO14" s="17"/>
      <c r="AP14" s="17"/>
      <c r="AQ14" s="17"/>
      <c r="AR14" s="20"/>
      <c r="AS14" s="24" t="e">
        <f t="shared" si="7"/>
        <v>#DIV/0!</v>
      </c>
      <c r="AT14" s="20"/>
      <c r="AU14" s="24" t="e">
        <f t="shared" si="8"/>
        <v>#DIV/0!</v>
      </c>
      <c r="AV14" s="20"/>
      <c r="AW14" s="24" t="e">
        <f t="shared" si="9"/>
        <v>#DIV/0!</v>
      </c>
      <c r="AX14" s="31"/>
      <c r="AY14" s="32" t="e">
        <f t="shared" si="11"/>
        <v>#DIV/0!</v>
      </c>
    </row>
    <row r="15" spans="1:53" ht="15.5" x14ac:dyDescent="0.35">
      <c r="A15" s="25" t="s">
        <v>18</v>
      </c>
      <c r="B15" s="25" t="s">
        <v>88</v>
      </c>
      <c r="C15" s="8" t="s">
        <v>89</v>
      </c>
      <c r="D15" s="8" t="s">
        <v>44</v>
      </c>
      <c r="E15" s="8" t="s">
        <v>62</v>
      </c>
      <c r="F15" s="8"/>
      <c r="G15" s="15" t="s">
        <v>63</v>
      </c>
      <c r="H15" s="15" t="s">
        <v>63</v>
      </c>
      <c r="I15" s="15"/>
      <c r="J15" s="15"/>
      <c r="K15" s="15" t="s">
        <v>63</v>
      </c>
      <c r="L15" s="15" t="s">
        <v>63</v>
      </c>
      <c r="M15" s="15" t="s">
        <v>14</v>
      </c>
      <c r="N15" s="15" t="s">
        <v>14</v>
      </c>
      <c r="O15" s="15" t="s">
        <v>63</v>
      </c>
      <c r="P15" s="15"/>
      <c r="Q15" s="15"/>
      <c r="R15" s="15"/>
      <c r="S15" s="9"/>
      <c r="T15" s="16"/>
      <c r="U15" s="23" t="e">
        <f t="shared" si="0"/>
        <v>#DIV/0!</v>
      </c>
      <c r="V15" s="16"/>
      <c r="W15" s="23" t="e">
        <f t="shared" si="1"/>
        <v>#DIV/0!</v>
      </c>
      <c r="X15" s="16"/>
      <c r="Y15" s="23" t="e">
        <f t="shared" si="2"/>
        <v>#DIV/0!</v>
      </c>
      <c r="Z15" s="16"/>
      <c r="AA15" s="23" t="e">
        <f t="shared" si="3"/>
        <v>#DIV/0!</v>
      </c>
      <c r="AB15" s="16"/>
      <c r="AC15" s="23" t="e">
        <f t="shared" si="4"/>
        <v>#DIV/0!</v>
      </c>
      <c r="AD15" s="27"/>
      <c r="AE15" s="23" t="e">
        <f t="shared" si="5"/>
        <v>#DIV/0!</v>
      </c>
      <c r="AF15" s="17"/>
      <c r="AG15" s="17"/>
      <c r="AH15" s="18"/>
      <c r="AI15" s="18"/>
      <c r="AJ15" s="17"/>
      <c r="AK15" s="21" t="e">
        <f t="shared" si="6"/>
        <v>#DIV/0!</v>
      </c>
      <c r="AL15" s="17"/>
      <c r="AM15" s="17"/>
      <c r="AN15" s="21" t="e">
        <f t="shared" si="10"/>
        <v>#DIV/0!</v>
      </c>
      <c r="AO15" s="17"/>
      <c r="AP15" s="17"/>
      <c r="AQ15" s="17"/>
      <c r="AR15" s="20"/>
      <c r="AS15" s="24" t="e">
        <f t="shared" si="7"/>
        <v>#DIV/0!</v>
      </c>
      <c r="AT15" s="20"/>
      <c r="AU15" s="24" t="e">
        <f t="shared" si="8"/>
        <v>#DIV/0!</v>
      </c>
      <c r="AV15" s="20"/>
      <c r="AW15" s="24" t="e">
        <f t="shared" si="9"/>
        <v>#DIV/0!</v>
      </c>
      <c r="AX15" s="31"/>
      <c r="AY15" s="32" t="e">
        <f t="shared" si="11"/>
        <v>#DIV/0!</v>
      </c>
    </row>
    <row r="16" spans="1:53" x14ac:dyDescent="0.35">
      <c r="P16" s="28"/>
      <c r="AD16" s="14"/>
    </row>
    <row r="17" spans="3:3" x14ac:dyDescent="0.35">
      <c r="C17" s="14"/>
    </row>
  </sheetData>
  <mergeCells count="18">
    <mergeCell ref="G1:R1"/>
    <mergeCell ref="X2:Y2"/>
    <mergeCell ref="AB2:AC2"/>
    <mergeCell ref="AM2:AN2"/>
    <mergeCell ref="AX1:AY1"/>
    <mergeCell ref="AX2:AY2"/>
    <mergeCell ref="A1:F1"/>
    <mergeCell ref="AR2:AS2"/>
    <mergeCell ref="AD2:AE2"/>
    <mergeCell ref="AT2:AU2"/>
    <mergeCell ref="AV2:AW2"/>
    <mergeCell ref="AR1:AW1"/>
    <mergeCell ref="AJ2:AK2"/>
    <mergeCell ref="AF1:AQ1"/>
    <mergeCell ref="S1:AE1"/>
    <mergeCell ref="V2:W2"/>
    <mergeCell ref="T2:U2"/>
    <mergeCell ref="Z2:AA2"/>
  </mergeCells>
  <conditionalFormatting sqref="U3:U15">
    <cfRule type="cellIs" dxfId="18" priority="32" operator="greaterThan">
      <formula>0</formula>
    </cfRule>
  </conditionalFormatting>
  <conditionalFormatting sqref="W3:W15">
    <cfRule type="cellIs" dxfId="17" priority="10" operator="greaterThan">
      <formula>0</formula>
    </cfRule>
  </conditionalFormatting>
  <conditionalFormatting sqref="Y3:Y15">
    <cfRule type="cellIs" dxfId="16" priority="9" operator="greaterThan">
      <formula>0</formula>
    </cfRule>
  </conditionalFormatting>
  <conditionalFormatting sqref="AA3:AA15">
    <cfRule type="cellIs" dxfId="15" priority="8" operator="greaterThan">
      <formula>0</formula>
    </cfRule>
  </conditionalFormatting>
  <conditionalFormatting sqref="AC3:AC15">
    <cfRule type="cellIs" dxfId="14" priority="7" operator="greaterThan">
      <formula>0</formula>
    </cfRule>
  </conditionalFormatting>
  <conditionalFormatting sqref="AE3:AE15">
    <cfRule type="cellIs" dxfId="13" priority="6" operator="greaterThan">
      <formula>0</formula>
    </cfRule>
  </conditionalFormatting>
  <conditionalFormatting sqref="AH3:AI15">
    <cfRule type="cellIs" dxfId="12" priority="37" operator="equal">
      <formula>"no number"</formula>
    </cfRule>
  </conditionalFormatting>
  <conditionalFormatting sqref="AK3:AK15">
    <cfRule type="cellIs" dxfId="11" priority="27" operator="greaterThan">
      <formula>0</formula>
    </cfRule>
  </conditionalFormatting>
  <conditionalFormatting sqref="AN3:AN15">
    <cfRule type="cellIs" dxfId="10" priority="11" operator="greaterThan">
      <formula>0</formula>
    </cfRule>
  </conditionalFormatting>
  <conditionalFormatting sqref="AO3:AQ15">
    <cfRule type="cellIs" dxfId="9" priority="36" operator="equal">
      <formula>"no value"</formula>
    </cfRule>
  </conditionalFormatting>
  <conditionalFormatting sqref="AR3:AS15">
    <cfRule type="cellIs" dxfId="8" priority="23" operator="equal">
      <formula>"no format"</formula>
    </cfRule>
  </conditionalFormatting>
  <conditionalFormatting sqref="AR3:AW15">
    <cfRule type="cellIs" dxfId="7" priority="18" operator="equal">
      <formula>"err"</formula>
    </cfRule>
  </conditionalFormatting>
  <conditionalFormatting sqref="AT3:AT15">
    <cfRule type="cellIs" dxfId="6" priority="42" operator="equal">
      <formula>"no list"</formula>
    </cfRule>
  </conditionalFormatting>
  <conditionalFormatting sqref="AU3:AU15">
    <cfRule type="cellIs" dxfId="5" priority="5" operator="equal">
      <formula>"no format"</formula>
    </cfRule>
  </conditionalFormatting>
  <conditionalFormatting sqref="AV3:AV15">
    <cfRule type="cellIs" dxfId="4" priority="26" operator="equal">
      <formula>"no number"</formula>
    </cfRule>
    <cfRule type="cellIs" dxfId="3" priority="40" operator="equal">
      <formula>"no range"</formula>
    </cfRule>
  </conditionalFormatting>
  <conditionalFormatting sqref="AW3:AW15">
    <cfRule type="cellIs" dxfId="2" priority="3" operator="equal">
      <formula>"no format"</formula>
    </cfRule>
  </conditionalFormatting>
  <conditionalFormatting sqref="AX3:AX15">
    <cfRule type="cellIs" dxfId="1" priority="1" operator="equal">
      <formula>"no table/field"</formula>
    </cfRule>
    <cfRule type="cellIs" dxfId="0" priority="2" operator="equal">
      <formula>"no fk"</formula>
    </cfRule>
  </conditionalFormatting>
  <dataValidations count="1">
    <dataValidation type="list" allowBlank="1" showInputMessage="1" showErrorMessage="1" sqref="G3:H15 K3:O15" xr:uid="{00000000-0002-0000-0100-000000000000}">
      <formula1>"yes,no"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tables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Ribeiro</cp:lastModifiedBy>
  <dcterms:created xsi:type="dcterms:W3CDTF">2025-11-10T19:13:48Z</dcterms:created>
  <dcterms:modified xsi:type="dcterms:W3CDTF">2025-11-21T21:04:12Z</dcterms:modified>
</cp:coreProperties>
</file>