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eda-to-excel/config/"/>
    </mc:Choice>
  </mc:AlternateContent>
  <xr:revisionPtr revIDLastSave="3" documentId="11_158A178B1B3B9EC78AC24A57B815F12CF5DB5E75" xr6:coauthVersionLast="47" xr6:coauthVersionMax="47" xr10:uidLastSave="{58648A37-6AFD-4CBF-A4E5-35A50DD873EE}"/>
  <bookViews>
    <workbookView xWindow="800" yWindow="430" windowWidth="15820" windowHeight="9170" activeTab="1" xr2:uid="{00000000-000D-0000-FFFF-FFFF00000000}"/>
  </bookViews>
  <sheets>
    <sheet name="tables" sheetId="1" r:id="rId1"/>
    <sheet name="fields" sheetId="2" r:id="rId2"/>
  </sheets>
  <calcPr calcId="191029"/>
</workbook>
</file>

<file path=xl/calcChain.xml><?xml version="1.0" encoding="utf-8"?>
<calcChain xmlns="http://schemas.openxmlformats.org/spreadsheetml/2006/main">
  <c r="AV4" i="2" l="1"/>
  <c r="AV5" i="2"/>
  <c r="AV6" i="2"/>
  <c r="AV7" i="2"/>
  <c r="AV8" i="2"/>
  <c r="AV9" i="2"/>
  <c r="AV10" i="2"/>
  <c r="AV11" i="2"/>
  <c r="AV12" i="2"/>
  <c r="AV13" i="2"/>
  <c r="AV14" i="2"/>
  <c r="AV15" i="2"/>
  <c r="AV3" i="2"/>
  <c r="AR4" i="2"/>
  <c r="AR5" i="2"/>
  <c r="AR6" i="2"/>
  <c r="AR7" i="2"/>
  <c r="AR8" i="2"/>
  <c r="AR9" i="2"/>
  <c r="AR10" i="2"/>
  <c r="AR11" i="2"/>
  <c r="AR12" i="2"/>
  <c r="AR13" i="2"/>
  <c r="AR14" i="2"/>
  <c r="AR15" i="2"/>
  <c r="AT4" i="2"/>
  <c r="AT5" i="2"/>
  <c r="AT6" i="2"/>
  <c r="AT7" i="2"/>
  <c r="AT8" i="2"/>
  <c r="AT9" i="2"/>
  <c r="AT10" i="2"/>
  <c r="AT11" i="2"/>
  <c r="AT12" i="2"/>
  <c r="AT13" i="2"/>
  <c r="AT14" i="2"/>
  <c r="AT15" i="2"/>
  <c r="AR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F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Menor valor encontrado</t>
        </r>
      </text>
    </comment>
    <comment ref="AG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Maior valor encontrado
</t>
        </r>
      </text>
    </comment>
    <comment ref="AH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Média aritmética
Soma dos valores dividia pela contagem de itens.
</t>
        </r>
      </text>
    </comment>
    <comment ref="AI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Desvio padrão
Quantifica a dispersão dos dados em torno da média.
</t>
        </r>
      </text>
    </comment>
    <comment ref="AJ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O número de valores distintos (não repetidos) na série
</t>
        </r>
      </text>
    </comment>
    <comment ref="AL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Moda
Valor que mais aparece.
</t>
        </r>
      </text>
    </comment>
    <comment ref="AM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Número de vezes que o numero mais frequente (top/moda) aparece. 
</t>
        </r>
      </text>
    </comment>
    <comment ref="AN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 valor abaixo do qual 25% dos dados se encontram.</t>
        </r>
      </text>
    </comment>
    <comment ref="AO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Mediana dos dados. 
O valor que divide o conjunto de dados ao meio.</t>
        </r>
      </text>
    </comment>
    <comment ref="AP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 xml:space="preserve">O valor abaixo do qual 75% dos dados se encontram.
</t>
        </r>
      </text>
    </comment>
    <comment ref="AQ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Qtde de valores válidos segundo o formato especificado na coluna "format". 
Validado pelo conteúdo da coluna "regex".</t>
        </r>
      </text>
    </comment>
    <comment ref="AS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Qtde de valores válidos segundo a lista informada na coluna  "list".</t>
        </r>
      </text>
    </comment>
    <comment ref="AU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Qtde de valores válidos segundo limites informados na coluna "range".</t>
        </r>
      </text>
    </comment>
  </commentList>
</comments>
</file>

<file path=xl/sharedStrings.xml><?xml version="1.0" encoding="utf-8"?>
<sst xmlns="http://schemas.openxmlformats.org/spreadsheetml/2006/main" count="291" uniqueCount="102">
  <si>
    <t>table</t>
  </si>
  <si>
    <t>desc</t>
  </si>
  <si>
    <t>file</t>
  </si>
  <si>
    <t>type</t>
  </si>
  <si>
    <t>file_size</t>
  </si>
  <si>
    <t>lines</t>
  </si>
  <si>
    <t>cols</t>
  </si>
  <si>
    <t>col_exists</t>
  </si>
  <si>
    <t>col_unique</t>
  </si>
  <si>
    <t>pk_unique</t>
  </si>
  <si>
    <t>ses_cias</t>
  </si>
  <si>
    <t>Tabela de empresas seguradoras</t>
  </si>
  <si>
    <t>ses_cias.csv</t>
  </si>
  <si>
    <t>Dimensão</t>
  </si>
  <si>
    <t>35.40 KB</t>
  </si>
  <si>
    <t>yes</t>
  </si>
  <si>
    <t>no</t>
  </si>
  <si>
    <t>ses_ramos</t>
  </si>
  <si>
    <t>Tabela de ramos de negocio</t>
  </si>
  <si>
    <t>ses_ramos.csv</t>
  </si>
  <si>
    <t>6.96 KB</t>
  </si>
  <si>
    <t>ses_seguros</t>
  </si>
  <si>
    <t>Tabela de valores de operações de seguro</t>
  </si>
  <si>
    <t>ses_seguros.csv</t>
  </si>
  <si>
    <t>7.55 KB</t>
  </si>
  <si>
    <t>field identification</t>
  </si>
  <si>
    <t>field characteristics</t>
  </si>
  <si>
    <t>count by content types</t>
  </si>
  <si>
    <t>field</t>
  </si>
  <si>
    <t>size</t>
  </si>
  <si>
    <t>format</t>
  </si>
  <si>
    <t>pk</t>
  </si>
  <si>
    <t>fk</t>
  </si>
  <si>
    <t>fk_field</t>
  </si>
  <si>
    <t>fk_table</t>
  </si>
  <si>
    <t>empty</t>
  </si>
  <si>
    <t>null</t>
  </si>
  <si>
    <t>zero</t>
  </si>
  <si>
    <t>negative</t>
  </si>
  <si>
    <t>uniques</t>
  </si>
  <si>
    <t>regex</t>
  </si>
  <si>
    <t>range</t>
  </si>
  <si>
    <t>list</t>
  </si>
  <si>
    <t>count</t>
  </si>
  <si>
    <t>nulls</t>
  </si>
  <si>
    <t>blanks</t>
  </si>
  <si>
    <t>int</t>
  </si>
  <si>
    <t>float</t>
  </si>
  <si>
    <t>str</t>
  </si>
  <si>
    <t>date</t>
  </si>
  <si>
    <t>min</t>
  </si>
  <si>
    <t>max</t>
  </si>
  <si>
    <t>mean</t>
  </si>
  <si>
    <t>std</t>
  </si>
  <si>
    <t>unique</t>
  </si>
  <si>
    <t>top</t>
  </si>
  <si>
    <t>freq</t>
  </si>
  <si>
    <t>q1(25%)</t>
  </si>
  <si>
    <t>q2(50%)</t>
  </si>
  <si>
    <t>q3(75%)</t>
  </si>
  <si>
    <t>valid_format</t>
  </si>
  <si>
    <t>valid_on_list</t>
  </si>
  <si>
    <t>valid_on_range</t>
  </si>
  <si>
    <t>coenti</t>
  </si>
  <si>
    <t>Código da empresas seguradoras</t>
  </si>
  <si>
    <t>Sergio</t>
  </si>
  <si>
    <t>5000;5400</t>
  </si>
  <si>
    <t>no format</t>
  </si>
  <si>
    <t>no list</t>
  </si>
  <si>
    <t>noenti</t>
  </si>
  <si>
    <t>Nome da empresa</t>
  </si>
  <si>
    <t>180 SEGUROS S.A.</t>
  </si>
  <si>
    <t>ZURICH SANTANDER BRASIL SEGUROS S.A.</t>
  </si>
  <si>
    <t>no number</t>
  </si>
  <si>
    <t>AFRICAN REINSURANCE CORPORATION</t>
  </si>
  <si>
    <t>no value</t>
  </si>
  <si>
    <t>coramo</t>
  </si>
  <si>
    <t>Código do ramo</t>
  </si>
  <si>
    <t>1101;1601;2201</t>
  </si>
  <si>
    <t>no range</t>
  </si>
  <si>
    <t>noramo</t>
  </si>
  <si>
    <t>Nome dro ramo</t>
  </si>
  <si>
    <t>0111 - INCĘNDIO TRADICIONAL(RUN OFF)</t>
  </si>
  <si>
    <t>2293 - VIDA EFPC</t>
  </si>
  <si>
    <t>Código da Empresa</t>
  </si>
  <si>
    <t>Código do Ramo no FIP</t>
  </si>
  <si>
    <t>damesano</t>
  </si>
  <si>
    <t>Ano e mês da informação</t>
  </si>
  <si>
    <t>YYYYMM</t>
  </si>
  <si>
    <t>^(?:19[7-9]\d|20[0-4]\d|2050)(?:0[1-9]|1[0-2])$</t>
  </si>
  <si>
    <t>premio_direto</t>
  </si>
  <si>
    <t>Prêmio Direto (R$)</t>
  </si>
  <si>
    <t>premio_ganho</t>
  </si>
  <si>
    <t>Prêmio Ganho (R$)</t>
  </si>
  <si>
    <t>premio_de_seguros</t>
  </si>
  <si>
    <t>Prêmio Seguros (R$)</t>
  </si>
  <si>
    <t>sinistro_direto</t>
  </si>
  <si>
    <t>Sinistro de Seguros (R$)</t>
  </si>
  <si>
    <t>sinistro_retido</t>
  </si>
  <si>
    <t>Sinistro Retido (R$)</t>
  </si>
  <si>
    <t>desp_com</t>
  </si>
  <si>
    <t>Despesa Comercial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</si>
</sst>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sz val="9"/>
      <color theme="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8DADC"/>
        <bgColor indexed="64"/>
      </patternFill>
    </fill>
    <fill>
      <patternFill patternType="solid">
        <fgColor rgb="FFF1FAE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2B69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0" fillId="4" borderId="1" xfId="0" applyFill="1" applyBorder="1" applyAlignment="1">
      <alignment horizontal="left"/>
    </xf>
    <xf numFmtId="10" fontId="0" fillId="4" borderId="1" xfId="0" applyNumberFormat="1" applyFill="1" applyBorder="1" applyAlignment="1">
      <alignment horizontal="left"/>
    </xf>
    <xf numFmtId="0" fontId="3" fillId="5" borderId="1" xfId="0" applyFont="1" applyFill="1" applyBorder="1"/>
    <xf numFmtId="0" fontId="0" fillId="3" borderId="1" xfId="0" applyFill="1" applyBorder="1" applyAlignment="1">
      <alignment horizontal="center"/>
    </xf>
    <xf numFmtId="0" fontId="1" fillId="6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shrinkToFit="1"/>
    </xf>
    <xf numFmtId="0" fontId="5" fillId="8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49" fontId="3" fillId="5" borderId="1" xfId="0" applyNumberFormat="1" applyFont="1" applyFill="1" applyBorder="1"/>
    <xf numFmtId="49" fontId="6" fillId="7" borderId="1" xfId="0" applyNumberFormat="1" applyFont="1" applyFill="1" applyBorder="1"/>
    <xf numFmtId="49" fontId="3" fillId="2" borderId="1" xfId="0" applyNumberFormat="1" applyFont="1" applyFill="1" applyBorder="1"/>
    <xf numFmtId="0" fontId="0" fillId="10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center"/>
    </xf>
    <xf numFmtId="0" fontId="0" fillId="14" borderId="1" xfId="0" applyFill="1" applyBorder="1" applyAlignment="1" applyProtection="1">
      <alignment horizontal="center"/>
      <protection locked="0"/>
    </xf>
    <xf numFmtId="0" fontId="0" fillId="14" borderId="1" xfId="0" applyFill="1" applyBorder="1" applyAlignment="1">
      <alignment horizontal="center"/>
    </xf>
    <xf numFmtId="0" fontId="0" fillId="0" borderId="0" xfId="0"/>
    <xf numFmtId="10" fontId="10" fillId="16" borderId="1" xfId="0" applyNumberFormat="1" applyFont="1" applyFill="1" applyBorder="1" applyAlignment="1">
      <alignment horizontal="center"/>
    </xf>
    <xf numFmtId="10" fontId="10" fillId="3" borderId="1" xfId="0" applyNumberFormat="1" applyFont="1" applyFill="1" applyBorder="1" applyAlignment="1">
      <alignment horizontal="center"/>
    </xf>
    <xf numFmtId="49" fontId="3" fillId="13" borderId="1" xfId="0" applyNumberFormat="1" applyFont="1" applyFill="1" applyBorder="1" applyAlignment="1">
      <alignment horizontal="center"/>
    </xf>
    <xf numFmtId="0" fontId="0" fillId="0" borderId="2" xfId="0" applyBorder="1"/>
    <xf numFmtId="0" fontId="9" fillId="15" borderId="3" xfId="0" applyFont="1" applyFill="1" applyBorder="1" applyAlignment="1">
      <alignment horizontal="center"/>
    </xf>
    <xf numFmtId="0" fontId="0" fillId="0" borderId="3" xfId="0" applyBorder="1"/>
    <xf numFmtId="49" fontId="8" fillId="13" borderId="1" xfId="0" applyNumberFormat="1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4" fillId="9" borderId="5" xfId="0" applyNumberFormat="1" applyFont="1" applyFill="1" applyBorder="1" applyAlignment="1">
      <alignment horizontal="center"/>
    </xf>
    <xf numFmtId="49" fontId="4" fillId="9" borderId="2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0" fontId="11" fillId="1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4">
    <dxf>
      <font>
        <color rgb="FFFF0000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b/>
      </font>
    </dxf>
    <dxf>
      <font>
        <color rgb="FFFF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theme="0" tint="-0.1498764000366222"/>
      </font>
    </dxf>
    <dxf>
      <font>
        <b/>
      </font>
    </dxf>
    <dxf>
      <font>
        <color theme="0" tint="-0.2499465926084170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theme="0" tint="-0.1498764000366222"/>
      </font>
    </dxf>
    <dxf>
      <font>
        <b/>
      </font>
    </dxf>
    <dxf>
      <font>
        <color theme="0" tint="-0.2499465926084170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2" sqref="A2"/>
    </sheetView>
  </sheetViews>
  <sheetFormatPr defaultRowHeight="14.5" x14ac:dyDescent="0.35"/>
  <cols>
    <col min="1" max="1" width="10.90625" style="21" bestFit="1" customWidth="1"/>
    <col min="2" max="2" width="36.1796875" style="21" bestFit="1" customWidth="1"/>
    <col min="3" max="3" width="14.08984375" style="21" bestFit="1" customWidth="1"/>
    <col min="4" max="4" width="9.1796875" style="21" bestFit="1" customWidth="1"/>
    <col min="5" max="5" width="14.7265625" style="21" customWidth="1"/>
    <col min="6" max="6" width="9.36328125" style="21" customWidth="1"/>
    <col min="7" max="7" width="8.81640625" style="21" customWidth="1"/>
    <col min="8" max="8" width="8.81640625" style="21" bestFit="1" customWidth="1"/>
    <col min="9" max="9" width="10" style="21" bestFit="1" customWidth="1"/>
    <col min="10" max="10" width="9.6328125" style="21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4" t="s">
        <v>13</v>
      </c>
      <c r="E2" s="6" t="s">
        <v>14</v>
      </c>
      <c r="F2" s="6">
        <v>743</v>
      </c>
      <c r="G2" s="6">
        <v>5</v>
      </c>
      <c r="H2" s="6" t="s">
        <v>15</v>
      </c>
      <c r="I2" s="6" t="s">
        <v>15</v>
      </c>
      <c r="J2" s="6" t="s">
        <v>16</v>
      </c>
    </row>
    <row r="3" spans="1:10" x14ac:dyDescent="0.35">
      <c r="A3" s="3" t="s">
        <v>17</v>
      </c>
      <c r="B3" s="3" t="s">
        <v>18</v>
      </c>
      <c r="C3" s="3" t="s">
        <v>19</v>
      </c>
      <c r="D3" s="4" t="s">
        <v>13</v>
      </c>
      <c r="E3" s="6" t="s">
        <v>20</v>
      </c>
      <c r="F3" s="6">
        <v>161</v>
      </c>
      <c r="G3" s="6">
        <v>2</v>
      </c>
      <c r="H3" s="6" t="s">
        <v>15</v>
      </c>
      <c r="I3" s="6" t="s">
        <v>15</v>
      </c>
      <c r="J3" s="6" t="s">
        <v>15</v>
      </c>
    </row>
    <row r="4" spans="1:10" x14ac:dyDescent="0.35">
      <c r="A4" s="3" t="s">
        <v>21</v>
      </c>
      <c r="B4" s="3" t="s">
        <v>22</v>
      </c>
      <c r="C4" s="3" t="s">
        <v>23</v>
      </c>
      <c r="D4" s="4" t="s">
        <v>13</v>
      </c>
      <c r="E4" s="6" t="s">
        <v>24</v>
      </c>
      <c r="F4" s="6">
        <v>100</v>
      </c>
      <c r="G4" s="6">
        <v>21</v>
      </c>
      <c r="H4" s="6" t="s">
        <v>15</v>
      </c>
      <c r="I4" s="6" t="s">
        <v>15</v>
      </c>
      <c r="J4" s="6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5"/>
  <sheetViews>
    <sheetView tabSelected="1" workbookViewId="0">
      <pane xSplit="2" ySplit="3" topLeftCell="AJ4" activePane="bottomRight" state="frozen"/>
      <selection pane="topRight" activeCell="C1" sqref="C1"/>
      <selection pane="bottomLeft" activeCell="A3" sqref="A3"/>
      <selection pane="bottomRight" activeCell="AZ15" sqref="AZ15"/>
    </sheetView>
  </sheetViews>
  <sheetFormatPr defaultColWidth="4.81640625" defaultRowHeight="14.5" x14ac:dyDescent="0.35"/>
  <cols>
    <col min="1" max="1" width="10.90625" style="21" bestFit="1" customWidth="1"/>
    <col min="2" max="2" width="17.54296875" style="21" bestFit="1" customWidth="1"/>
    <col min="3" max="3" width="28.7265625" style="21" bestFit="1" customWidth="1"/>
    <col min="4" max="4" width="4.6328125" style="21" bestFit="1" customWidth="1"/>
    <col min="5" max="5" width="5.90625" style="21" bestFit="1" customWidth="1"/>
    <col min="6" max="6" width="8.26953125" style="21" bestFit="1" customWidth="1"/>
    <col min="7" max="7" width="3.7265625" style="21" bestFit="1" customWidth="1"/>
    <col min="8" max="8" width="3.54296875" style="21" bestFit="1" customWidth="1"/>
    <col min="9" max="9" width="7.1796875" style="21" bestFit="1" customWidth="1"/>
    <col min="10" max="10" width="9.7265625" style="21" bestFit="1" customWidth="1"/>
    <col min="11" max="11" width="6.1796875" style="21" bestFit="1" customWidth="1"/>
    <col min="12" max="12" width="3.90625" style="21" bestFit="1" customWidth="1"/>
    <col min="13" max="13" width="4.453125" style="21" bestFit="1" customWidth="1"/>
    <col min="14" max="14" width="7.90625" style="21" bestFit="1" customWidth="1"/>
    <col min="15" max="15" width="7.453125" style="21" bestFit="1" customWidth="1"/>
    <col min="16" max="16" width="18" style="21" customWidth="1"/>
    <col min="17" max="17" width="10.08984375" style="21" bestFit="1" customWidth="1"/>
    <col min="18" max="18" width="15.08984375" style="21" bestFit="1" customWidth="1"/>
    <col min="19" max="19" width="5.6328125" style="21" bestFit="1" customWidth="1"/>
    <col min="20" max="20" width="1.81640625" style="21" bestFit="1" customWidth="1"/>
    <col min="21" max="21" width="4.81640625" style="21" bestFit="1" customWidth="1"/>
    <col min="22" max="22" width="1.81640625" style="21" bestFit="1" customWidth="1"/>
    <col min="23" max="23" width="4.81640625" style="21" bestFit="1" customWidth="1"/>
    <col min="24" max="24" width="3.81640625" style="21" customWidth="1"/>
    <col min="25" max="25" width="6.453125" style="21" bestFit="1" customWidth="1"/>
    <col min="26" max="26" width="1.81640625" style="21" bestFit="1" customWidth="1"/>
    <col min="27" max="27" width="4.81640625" style="21" bestFit="1" customWidth="1"/>
    <col min="28" max="28" width="3.81640625" style="21" bestFit="1" customWidth="1"/>
    <col min="29" max="29" width="6.453125" style="21" bestFit="1" customWidth="1"/>
    <col min="30" max="30" width="1.81640625" style="21" bestFit="1" customWidth="1"/>
    <col min="31" max="31" width="4.81640625" style="21" bestFit="1" customWidth="1"/>
    <col min="32" max="32" width="8.81640625" style="21" customWidth="1"/>
    <col min="33" max="33" width="10.1796875" style="21" customWidth="1"/>
    <col min="34" max="35" width="10.08984375" style="21" bestFit="1" customWidth="1"/>
    <col min="36" max="36" width="3.81640625" style="21" bestFit="1" customWidth="1"/>
    <col min="37" max="37" width="6.453125" style="21" bestFit="1" customWidth="1"/>
    <col min="38" max="38" width="8.08984375" style="21" customWidth="1"/>
    <col min="39" max="39" width="4.26953125" style="21" bestFit="1" customWidth="1"/>
    <col min="40" max="42" width="7.90625" style="21" bestFit="1" customWidth="1"/>
    <col min="43" max="43" width="11.54296875" style="21" bestFit="1" customWidth="1"/>
    <col min="44" max="44" width="6.7265625" style="21" bestFit="1" customWidth="1"/>
    <col min="45" max="45" width="5.81640625" style="21" bestFit="1" customWidth="1"/>
    <col min="46" max="46" width="5.7265625" style="21" bestFit="1" customWidth="1"/>
    <col min="47" max="47" width="10.08984375" style="21" bestFit="1" customWidth="1"/>
    <col min="48" max="48" width="4.81640625" style="21" bestFit="1" customWidth="1"/>
    <col min="49" max="59" width="4.81640625" style="21" customWidth="1"/>
    <col min="60" max="16384" width="4.81640625" style="21"/>
  </cols>
  <sheetData>
    <row r="1" spans="1:48" x14ac:dyDescent="0.35">
      <c r="A1" s="26" t="s">
        <v>25</v>
      </c>
      <c r="B1" s="27"/>
      <c r="G1" s="26" t="s">
        <v>26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T1" s="29" t="s">
        <v>27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48" s="1" customFormat="1" ht="15.5" customHeight="1" x14ac:dyDescent="0.35">
      <c r="A2" s="13" t="s">
        <v>0</v>
      </c>
      <c r="B2" s="13" t="s">
        <v>28</v>
      </c>
      <c r="C2" s="13" t="s">
        <v>1</v>
      </c>
      <c r="D2" s="13" t="s">
        <v>3</v>
      </c>
      <c r="E2" s="13" t="s">
        <v>29</v>
      </c>
      <c r="F2" s="13" t="s">
        <v>30</v>
      </c>
      <c r="G2" s="14" t="s">
        <v>31</v>
      </c>
      <c r="H2" s="14" t="s">
        <v>32</v>
      </c>
      <c r="I2" s="14" t="s">
        <v>33</v>
      </c>
      <c r="J2" s="14" t="s">
        <v>34</v>
      </c>
      <c r="K2" s="14" t="s">
        <v>35</v>
      </c>
      <c r="L2" s="14" t="s">
        <v>36</v>
      </c>
      <c r="M2" s="14" t="s">
        <v>37</v>
      </c>
      <c r="N2" s="14" t="s">
        <v>38</v>
      </c>
      <c r="O2" s="14" t="s">
        <v>39</v>
      </c>
      <c r="P2" s="14" t="s">
        <v>40</v>
      </c>
      <c r="Q2" s="14" t="s">
        <v>41</v>
      </c>
      <c r="R2" s="14" t="s">
        <v>42</v>
      </c>
      <c r="S2" s="15" t="s">
        <v>43</v>
      </c>
      <c r="T2" s="24" t="s">
        <v>44</v>
      </c>
      <c r="U2" s="25"/>
      <c r="V2" s="24" t="s">
        <v>45</v>
      </c>
      <c r="W2" s="25"/>
      <c r="X2" s="28" t="s">
        <v>46</v>
      </c>
      <c r="Y2" s="25"/>
      <c r="Z2" s="24" t="s">
        <v>47</v>
      </c>
      <c r="AA2" s="25"/>
      <c r="AB2" s="24" t="s">
        <v>48</v>
      </c>
      <c r="AC2" s="25"/>
      <c r="AD2" s="24" t="s">
        <v>49</v>
      </c>
      <c r="AE2" s="25"/>
      <c r="AF2" s="15" t="s">
        <v>50</v>
      </c>
      <c r="AG2" s="15" t="s">
        <v>51</v>
      </c>
      <c r="AH2" s="15" t="s">
        <v>52</v>
      </c>
      <c r="AI2" s="15" t="s">
        <v>53</v>
      </c>
      <c r="AJ2" s="30" t="s">
        <v>54</v>
      </c>
      <c r="AK2" s="25"/>
      <c r="AL2" s="15" t="s">
        <v>55</v>
      </c>
      <c r="AM2" s="15" t="s">
        <v>56</v>
      </c>
      <c r="AN2" s="15" t="s">
        <v>57</v>
      </c>
      <c r="AO2" s="15" t="s">
        <v>58</v>
      </c>
      <c r="AP2" s="15" t="s">
        <v>59</v>
      </c>
      <c r="AQ2" s="31" t="s">
        <v>60</v>
      </c>
      <c r="AR2" s="32"/>
      <c r="AS2" s="31" t="s">
        <v>61</v>
      </c>
      <c r="AT2" s="32"/>
      <c r="AU2" s="31" t="s">
        <v>62</v>
      </c>
      <c r="AV2" s="32"/>
    </row>
    <row r="3" spans="1:48" s="1" customFormat="1" ht="15.5" customHeight="1" x14ac:dyDescent="0.35">
      <c r="A3" s="11" t="s">
        <v>10</v>
      </c>
      <c r="B3" s="12" t="s">
        <v>63</v>
      </c>
      <c r="C3" s="3" t="s">
        <v>64</v>
      </c>
      <c r="D3" s="3" t="s">
        <v>46</v>
      </c>
      <c r="E3" s="3" t="s">
        <v>65</v>
      </c>
      <c r="F3" s="3"/>
      <c r="G3" s="7" t="s">
        <v>15</v>
      </c>
      <c r="H3" s="7" t="s">
        <v>16</v>
      </c>
      <c r="I3" s="7"/>
      <c r="J3" s="7"/>
      <c r="K3" s="7" t="s">
        <v>16</v>
      </c>
      <c r="L3" s="7" t="s">
        <v>16</v>
      </c>
      <c r="M3" s="7" t="s">
        <v>16</v>
      </c>
      <c r="N3" s="7" t="s">
        <v>16</v>
      </c>
      <c r="O3" s="7" t="s">
        <v>15</v>
      </c>
      <c r="P3" s="7"/>
      <c r="Q3" s="7" t="s">
        <v>66</v>
      </c>
      <c r="R3" s="7"/>
      <c r="S3" s="20">
        <v>743</v>
      </c>
      <c r="T3" s="19">
        <v>2</v>
      </c>
      <c r="U3" s="22">
        <v>0</v>
      </c>
      <c r="V3" s="20">
        <v>1</v>
      </c>
      <c r="W3" s="22">
        <v>1.3458950201884251E-3</v>
      </c>
      <c r="X3" s="20">
        <v>737</v>
      </c>
      <c r="Y3" s="22">
        <v>0.99192462987886942</v>
      </c>
      <c r="Z3" s="20">
        <v>1</v>
      </c>
      <c r="AA3" s="22">
        <v>1.3458950201884251E-3</v>
      </c>
      <c r="AB3" s="20">
        <v>1</v>
      </c>
      <c r="AC3" s="22">
        <v>1.3458950201884251E-3</v>
      </c>
      <c r="AD3" s="20">
        <v>1</v>
      </c>
      <c r="AE3" s="22">
        <v>1.3458950201884251E-3</v>
      </c>
      <c r="AF3" s="17">
        <v>-1007</v>
      </c>
      <c r="AG3" s="17">
        <v>90057</v>
      </c>
      <c r="AH3" s="18">
        <v>30898.900352781551</v>
      </c>
      <c r="AI3" s="18">
        <v>29209.02300316083</v>
      </c>
      <c r="AJ3" s="6">
        <v>737</v>
      </c>
      <c r="AK3" s="23">
        <v>0.99192462987886942</v>
      </c>
      <c r="AL3" s="17">
        <v>-1007</v>
      </c>
      <c r="AM3" s="17">
        <v>1</v>
      </c>
      <c r="AN3" s="17">
        <v>5711</v>
      </c>
      <c r="AO3" s="17">
        <v>12467</v>
      </c>
      <c r="AP3" s="17">
        <v>55000</v>
      </c>
      <c r="AQ3" s="33" t="s">
        <v>67</v>
      </c>
      <c r="AR3" s="34" t="str">
        <f>IF(AQ3="no format", "",AQ3/S3 )</f>
        <v/>
      </c>
      <c r="AS3" s="16" t="s">
        <v>68</v>
      </c>
      <c r="AT3" s="34"/>
      <c r="AU3" s="16">
        <v>36</v>
      </c>
      <c r="AV3" s="34">
        <f>IF(OR(AU3="no number",AU3="no range"),"",AU3/S3)</f>
        <v>4.8452220726783311E-2</v>
      </c>
    </row>
    <row r="4" spans="1:48" s="1" customFormat="1" ht="15.5" customHeight="1" x14ac:dyDescent="0.35">
      <c r="A4" s="11" t="s">
        <v>10</v>
      </c>
      <c r="B4" s="12" t="s">
        <v>69</v>
      </c>
      <c r="C4" s="3" t="s">
        <v>70</v>
      </c>
      <c r="D4" s="3" t="s">
        <v>48</v>
      </c>
      <c r="E4" s="3" t="s">
        <v>65</v>
      </c>
      <c r="F4" s="3"/>
      <c r="G4" s="7" t="s">
        <v>16</v>
      </c>
      <c r="H4" s="7" t="s">
        <v>16</v>
      </c>
      <c r="I4" s="7"/>
      <c r="J4" s="7"/>
      <c r="K4" s="7" t="s">
        <v>16</v>
      </c>
      <c r="L4" s="7" t="s">
        <v>16</v>
      </c>
      <c r="M4" s="7" t="s">
        <v>16</v>
      </c>
      <c r="N4" s="7" t="s">
        <v>16</v>
      </c>
      <c r="O4" s="7" t="s">
        <v>15</v>
      </c>
      <c r="P4" s="7"/>
      <c r="Q4" s="7"/>
      <c r="R4" s="7"/>
      <c r="S4" s="20">
        <v>743</v>
      </c>
      <c r="T4" s="19">
        <v>0</v>
      </c>
      <c r="U4" s="22">
        <v>0</v>
      </c>
      <c r="V4" s="20">
        <v>0</v>
      </c>
      <c r="W4" s="22">
        <v>0</v>
      </c>
      <c r="X4" s="20">
        <v>0</v>
      </c>
      <c r="Y4" s="22">
        <v>0</v>
      </c>
      <c r="Z4" s="20">
        <v>0</v>
      </c>
      <c r="AA4" s="22">
        <v>0</v>
      </c>
      <c r="AB4" s="20">
        <v>743</v>
      </c>
      <c r="AC4" s="22">
        <v>1</v>
      </c>
      <c r="AD4" s="20">
        <v>0</v>
      </c>
      <c r="AE4" s="22">
        <v>0</v>
      </c>
      <c r="AF4" s="17" t="s">
        <v>71</v>
      </c>
      <c r="AG4" s="17" t="s">
        <v>72</v>
      </c>
      <c r="AH4" s="18" t="s">
        <v>73</v>
      </c>
      <c r="AI4" s="18" t="s">
        <v>73</v>
      </c>
      <c r="AJ4" s="6">
        <v>724</v>
      </c>
      <c r="AK4" s="23">
        <v>0.97442799461641993</v>
      </c>
      <c r="AL4" s="17" t="s">
        <v>74</v>
      </c>
      <c r="AM4" s="17">
        <v>2</v>
      </c>
      <c r="AN4" s="17" t="s">
        <v>75</v>
      </c>
      <c r="AO4" s="17" t="s">
        <v>75</v>
      </c>
      <c r="AP4" s="17" t="s">
        <v>75</v>
      </c>
      <c r="AQ4" s="33" t="s">
        <v>67</v>
      </c>
      <c r="AR4" s="34" t="str">
        <f t="shared" ref="AR4:AR15" si="0">IF(AQ4="no format", "",AQ4/S4 )</f>
        <v/>
      </c>
      <c r="AS4" s="16" t="s">
        <v>68</v>
      </c>
      <c r="AT4" s="34" t="str">
        <f t="shared" ref="AT4:AT15" si="1">IF(AS4="no list","",AS4/S4)</f>
        <v/>
      </c>
      <c r="AU4" s="16" t="s">
        <v>73</v>
      </c>
      <c r="AV4" s="34" t="str">
        <f t="shared" ref="AV4:AV15" si="2">IF(OR(AU4="no number",AU4="no range"),"",AU4/S4)</f>
        <v/>
      </c>
    </row>
    <row r="5" spans="1:48" ht="15.5" customHeight="1" x14ac:dyDescent="0.35">
      <c r="A5" s="11" t="s">
        <v>17</v>
      </c>
      <c r="B5" s="12" t="s">
        <v>76</v>
      </c>
      <c r="C5" s="3" t="s">
        <v>77</v>
      </c>
      <c r="D5" s="3" t="s">
        <v>46</v>
      </c>
      <c r="E5" s="3" t="s">
        <v>65</v>
      </c>
      <c r="F5" s="3"/>
      <c r="G5" s="7" t="s">
        <v>15</v>
      </c>
      <c r="H5" s="7" t="s">
        <v>16</v>
      </c>
      <c r="I5" s="7"/>
      <c r="J5" s="7"/>
      <c r="K5" s="7" t="s">
        <v>16</v>
      </c>
      <c r="L5" s="7" t="s">
        <v>16</v>
      </c>
      <c r="M5" s="7" t="s">
        <v>16</v>
      </c>
      <c r="N5" s="7" t="s">
        <v>16</v>
      </c>
      <c r="O5" s="7" t="s">
        <v>15</v>
      </c>
      <c r="P5" s="7"/>
      <c r="Q5" s="7"/>
      <c r="R5" s="7" t="s">
        <v>78</v>
      </c>
      <c r="S5" s="20">
        <v>161</v>
      </c>
      <c r="T5" s="19">
        <v>0</v>
      </c>
      <c r="U5" s="22">
        <v>0</v>
      </c>
      <c r="V5" s="20">
        <v>0</v>
      </c>
      <c r="W5" s="22">
        <v>0</v>
      </c>
      <c r="X5" s="20">
        <v>161</v>
      </c>
      <c r="Y5" s="22">
        <v>1</v>
      </c>
      <c r="Z5" s="20">
        <v>0</v>
      </c>
      <c r="AA5" s="22">
        <v>0</v>
      </c>
      <c r="AB5" s="20">
        <v>0</v>
      </c>
      <c r="AC5" s="22">
        <v>0</v>
      </c>
      <c r="AD5" s="20">
        <v>0</v>
      </c>
      <c r="AE5" s="22">
        <v>0</v>
      </c>
      <c r="AF5" s="17">
        <v>111</v>
      </c>
      <c r="AG5" s="17">
        <v>2293</v>
      </c>
      <c r="AH5" s="18">
        <v>921.34161490683232</v>
      </c>
      <c r="AI5" s="18">
        <v>496.96754302456787</v>
      </c>
      <c r="AJ5" s="6">
        <v>161</v>
      </c>
      <c r="AK5" s="23">
        <v>1</v>
      </c>
      <c r="AL5" s="17">
        <v>111</v>
      </c>
      <c r="AM5" s="17">
        <v>1</v>
      </c>
      <c r="AN5" s="17">
        <v>583</v>
      </c>
      <c r="AO5" s="17">
        <v>977</v>
      </c>
      <c r="AP5" s="17">
        <v>1198</v>
      </c>
      <c r="AQ5" s="33" t="s">
        <v>67</v>
      </c>
      <c r="AR5" s="34" t="str">
        <f t="shared" si="0"/>
        <v/>
      </c>
      <c r="AS5" s="16">
        <v>3</v>
      </c>
      <c r="AT5" s="34">
        <f t="shared" si="1"/>
        <v>1.8633540372670808E-2</v>
      </c>
      <c r="AU5" s="16" t="s">
        <v>79</v>
      </c>
      <c r="AV5" s="34" t="str">
        <f t="shared" si="2"/>
        <v/>
      </c>
    </row>
    <row r="6" spans="1:48" ht="15.5" customHeight="1" x14ac:dyDescent="0.35">
      <c r="A6" s="11" t="s">
        <v>17</v>
      </c>
      <c r="B6" s="12" t="s">
        <v>80</v>
      </c>
      <c r="C6" s="3" t="s">
        <v>81</v>
      </c>
      <c r="D6" s="3" t="s">
        <v>48</v>
      </c>
      <c r="E6" s="3" t="s">
        <v>65</v>
      </c>
      <c r="F6" s="3"/>
      <c r="G6" s="7" t="s">
        <v>16</v>
      </c>
      <c r="H6" s="7" t="s">
        <v>16</v>
      </c>
      <c r="I6" s="8"/>
      <c r="J6" s="7"/>
      <c r="K6" s="7" t="s">
        <v>16</v>
      </c>
      <c r="L6" s="7" t="s">
        <v>16</v>
      </c>
      <c r="M6" s="7" t="s">
        <v>16</v>
      </c>
      <c r="N6" s="7" t="s">
        <v>16</v>
      </c>
      <c r="O6" s="7" t="s">
        <v>15</v>
      </c>
      <c r="P6" s="7"/>
      <c r="Q6" s="7"/>
      <c r="R6" s="7"/>
      <c r="S6" s="20">
        <v>161</v>
      </c>
      <c r="T6" s="19">
        <v>0</v>
      </c>
      <c r="U6" s="22">
        <v>0</v>
      </c>
      <c r="V6" s="20">
        <v>0</v>
      </c>
      <c r="W6" s="22">
        <v>0</v>
      </c>
      <c r="X6" s="20">
        <v>0</v>
      </c>
      <c r="Y6" s="22">
        <v>0</v>
      </c>
      <c r="Z6" s="20">
        <v>0</v>
      </c>
      <c r="AA6" s="22">
        <v>0</v>
      </c>
      <c r="AB6" s="20">
        <v>161</v>
      </c>
      <c r="AC6" s="22">
        <v>1</v>
      </c>
      <c r="AD6" s="20">
        <v>0</v>
      </c>
      <c r="AE6" s="22">
        <v>0</v>
      </c>
      <c r="AF6" s="17" t="s">
        <v>82</v>
      </c>
      <c r="AG6" s="17" t="s">
        <v>83</v>
      </c>
      <c r="AH6" s="18" t="s">
        <v>73</v>
      </c>
      <c r="AI6" s="18" t="s">
        <v>73</v>
      </c>
      <c r="AJ6" s="6">
        <v>161</v>
      </c>
      <c r="AK6" s="23">
        <v>1</v>
      </c>
      <c r="AL6" s="17" t="s">
        <v>82</v>
      </c>
      <c r="AM6" s="17">
        <v>1</v>
      </c>
      <c r="AN6" s="17" t="s">
        <v>75</v>
      </c>
      <c r="AO6" s="17" t="s">
        <v>75</v>
      </c>
      <c r="AP6" s="17" t="s">
        <v>75</v>
      </c>
      <c r="AQ6" s="33" t="s">
        <v>67</v>
      </c>
      <c r="AR6" s="34" t="str">
        <f t="shared" si="0"/>
        <v/>
      </c>
      <c r="AS6" s="16" t="s">
        <v>68</v>
      </c>
      <c r="AT6" s="34" t="str">
        <f t="shared" si="1"/>
        <v/>
      </c>
      <c r="AU6" s="16" t="s">
        <v>73</v>
      </c>
      <c r="AV6" s="34" t="str">
        <f t="shared" si="2"/>
        <v/>
      </c>
    </row>
    <row r="7" spans="1:48" x14ac:dyDescent="0.35">
      <c r="A7" s="11" t="s">
        <v>21</v>
      </c>
      <c r="B7" s="12" t="s">
        <v>63</v>
      </c>
      <c r="C7" s="3" t="s">
        <v>84</v>
      </c>
      <c r="D7" s="3" t="s">
        <v>46</v>
      </c>
      <c r="E7" s="3" t="s">
        <v>65</v>
      </c>
      <c r="F7" s="3"/>
      <c r="G7" s="9" t="s">
        <v>15</v>
      </c>
      <c r="H7" s="9" t="s">
        <v>15</v>
      </c>
      <c r="I7" s="9" t="s">
        <v>63</v>
      </c>
      <c r="J7" s="9" t="s">
        <v>10</v>
      </c>
      <c r="K7" s="9" t="s">
        <v>16</v>
      </c>
      <c r="L7" s="9" t="s">
        <v>16</v>
      </c>
      <c r="M7" s="9" t="s">
        <v>16</v>
      </c>
      <c r="N7" s="9" t="s">
        <v>16</v>
      </c>
      <c r="O7" s="9" t="s">
        <v>16</v>
      </c>
      <c r="P7" s="9"/>
      <c r="Q7" s="9"/>
      <c r="R7" s="9"/>
      <c r="S7" s="20">
        <v>100</v>
      </c>
      <c r="T7" s="19">
        <v>0</v>
      </c>
      <c r="U7" s="22">
        <v>0</v>
      </c>
      <c r="V7" s="20">
        <v>0</v>
      </c>
      <c r="W7" s="22">
        <v>0</v>
      </c>
      <c r="X7" s="20">
        <v>100</v>
      </c>
      <c r="Y7" s="22">
        <v>1</v>
      </c>
      <c r="Z7" s="20">
        <v>0</v>
      </c>
      <c r="AA7" s="22">
        <v>0</v>
      </c>
      <c r="AB7" s="20">
        <v>0</v>
      </c>
      <c r="AC7" s="22">
        <v>0</v>
      </c>
      <c r="AD7" s="20">
        <v>0</v>
      </c>
      <c r="AE7" s="22">
        <v>0</v>
      </c>
      <c r="AF7" s="17">
        <v>-5096</v>
      </c>
      <c r="AG7" s="17">
        <v>5762</v>
      </c>
      <c r="AH7" s="18">
        <v>5164.97</v>
      </c>
      <c r="AI7" s="18">
        <v>1194.7025702718411</v>
      </c>
      <c r="AJ7" s="6">
        <v>26</v>
      </c>
      <c r="AK7" s="23">
        <v>0.26</v>
      </c>
      <c r="AL7" s="17">
        <v>5096</v>
      </c>
      <c r="AM7" s="17">
        <v>35</v>
      </c>
      <c r="AN7" s="17">
        <v>5096</v>
      </c>
      <c r="AO7" s="17">
        <v>5096</v>
      </c>
      <c r="AP7" s="17">
        <v>5631</v>
      </c>
      <c r="AQ7" s="33" t="s">
        <v>67</v>
      </c>
      <c r="AR7" s="34" t="str">
        <f t="shared" si="0"/>
        <v/>
      </c>
      <c r="AS7" s="16" t="s">
        <v>68</v>
      </c>
      <c r="AT7" s="34" t="str">
        <f t="shared" si="1"/>
        <v/>
      </c>
      <c r="AU7" s="16" t="s">
        <v>79</v>
      </c>
      <c r="AV7" s="34" t="str">
        <f t="shared" si="2"/>
        <v/>
      </c>
    </row>
    <row r="8" spans="1:48" x14ac:dyDescent="0.35">
      <c r="A8" s="11" t="s">
        <v>21</v>
      </c>
      <c r="B8" s="12" t="s">
        <v>76</v>
      </c>
      <c r="C8" s="3" t="s">
        <v>85</v>
      </c>
      <c r="D8" s="3" t="s">
        <v>46</v>
      </c>
      <c r="E8" s="3" t="s">
        <v>65</v>
      </c>
      <c r="F8" s="3"/>
      <c r="G8" s="9" t="s">
        <v>15</v>
      </c>
      <c r="H8" s="9" t="s">
        <v>15</v>
      </c>
      <c r="I8" s="9" t="s">
        <v>76</v>
      </c>
      <c r="J8" s="9" t="s">
        <v>17</v>
      </c>
      <c r="K8" s="9" t="s">
        <v>16</v>
      </c>
      <c r="L8" s="9" t="s">
        <v>16</v>
      </c>
      <c r="M8" s="9" t="s">
        <v>16</v>
      </c>
      <c r="N8" s="9" t="s">
        <v>16</v>
      </c>
      <c r="O8" s="9" t="s">
        <v>16</v>
      </c>
      <c r="P8" s="9"/>
      <c r="Q8" s="9"/>
      <c r="R8" s="9"/>
      <c r="S8" s="20">
        <v>100</v>
      </c>
      <c r="T8" s="19">
        <v>0</v>
      </c>
      <c r="U8" s="22">
        <v>0</v>
      </c>
      <c r="V8" s="20">
        <v>0</v>
      </c>
      <c r="W8" s="22">
        <v>0</v>
      </c>
      <c r="X8" s="20">
        <v>100</v>
      </c>
      <c r="Y8" s="22">
        <v>1</v>
      </c>
      <c r="Z8" s="20">
        <v>0</v>
      </c>
      <c r="AA8" s="22">
        <v>0</v>
      </c>
      <c r="AB8" s="20">
        <v>0</v>
      </c>
      <c r="AC8" s="22">
        <v>0</v>
      </c>
      <c r="AD8" s="20">
        <v>0</v>
      </c>
      <c r="AE8" s="22">
        <v>0</v>
      </c>
      <c r="AF8" s="17">
        <v>11</v>
      </c>
      <c r="AG8" s="17">
        <v>1164</v>
      </c>
      <c r="AH8" s="18">
        <v>299.7</v>
      </c>
      <c r="AI8" s="18">
        <v>355.16544729111092</v>
      </c>
      <c r="AJ8" s="6">
        <v>65</v>
      </c>
      <c r="AK8" s="23">
        <v>0.65</v>
      </c>
      <c r="AL8" s="17">
        <v>621</v>
      </c>
      <c r="AM8" s="17">
        <v>5</v>
      </c>
      <c r="AN8" s="17">
        <v>54.75</v>
      </c>
      <c r="AO8" s="17">
        <v>82.5</v>
      </c>
      <c r="AP8" s="17">
        <v>588.25</v>
      </c>
      <c r="AQ8" s="33" t="s">
        <v>67</v>
      </c>
      <c r="AR8" s="34" t="str">
        <f t="shared" si="0"/>
        <v/>
      </c>
      <c r="AS8" s="16" t="s">
        <v>68</v>
      </c>
      <c r="AT8" s="34" t="str">
        <f t="shared" si="1"/>
        <v/>
      </c>
      <c r="AU8" s="16" t="s">
        <v>79</v>
      </c>
      <c r="AV8" s="34" t="str">
        <f t="shared" si="2"/>
        <v/>
      </c>
    </row>
    <row r="9" spans="1:48" x14ac:dyDescent="0.35">
      <c r="A9" s="11" t="s">
        <v>21</v>
      </c>
      <c r="B9" s="12" t="s">
        <v>86</v>
      </c>
      <c r="C9" s="3" t="s">
        <v>87</v>
      </c>
      <c r="D9" s="3" t="s">
        <v>46</v>
      </c>
      <c r="E9" s="3" t="s">
        <v>65</v>
      </c>
      <c r="F9" s="3" t="s">
        <v>88</v>
      </c>
      <c r="G9" s="9" t="s">
        <v>15</v>
      </c>
      <c r="H9" s="9" t="s">
        <v>16</v>
      </c>
      <c r="I9" s="9"/>
      <c r="J9" s="9"/>
      <c r="K9" s="9" t="s">
        <v>16</v>
      </c>
      <c r="L9" s="9" t="s">
        <v>16</v>
      </c>
      <c r="M9" s="9" t="s">
        <v>16</v>
      </c>
      <c r="N9" s="9" t="s">
        <v>16</v>
      </c>
      <c r="O9" s="9" t="s">
        <v>16</v>
      </c>
      <c r="P9" s="10" t="s">
        <v>89</v>
      </c>
      <c r="Q9" s="9"/>
      <c r="R9" s="9"/>
      <c r="S9" s="20">
        <v>100</v>
      </c>
      <c r="T9" s="19">
        <v>0</v>
      </c>
      <c r="U9" s="22">
        <v>0</v>
      </c>
      <c r="V9" s="20">
        <v>1</v>
      </c>
      <c r="W9" s="22">
        <v>0.01</v>
      </c>
      <c r="X9" s="20">
        <v>99</v>
      </c>
      <c r="Y9" s="22">
        <v>0.99</v>
      </c>
      <c r="Z9" s="20">
        <v>0</v>
      </c>
      <c r="AA9" s="22">
        <v>0</v>
      </c>
      <c r="AB9" s="20">
        <v>0</v>
      </c>
      <c r="AC9" s="22">
        <v>0</v>
      </c>
      <c r="AD9" s="20">
        <v>0</v>
      </c>
      <c r="AE9" s="22">
        <v>0</v>
      </c>
      <c r="AF9" s="17">
        <v>100009</v>
      </c>
      <c r="AG9" s="17">
        <v>200009</v>
      </c>
      <c r="AH9" s="18">
        <v>197812.63636363641</v>
      </c>
      <c r="AI9" s="18">
        <v>13415.57053443418</v>
      </c>
      <c r="AJ9" s="6">
        <v>4</v>
      </c>
      <c r="AK9" s="23">
        <v>0.04</v>
      </c>
      <c r="AL9" s="17">
        <v>199501</v>
      </c>
      <c r="AM9" s="17">
        <v>54</v>
      </c>
      <c r="AN9" s="17">
        <v>199501</v>
      </c>
      <c r="AO9" s="17">
        <v>199501</v>
      </c>
      <c r="AP9" s="17">
        <v>200009</v>
      </c>
      <c r="AQ9" s="33">
        <v>97</v>
      </c>
      <c r="AR9" s="34">
        <f t="shared" si="0"/>
        <v>0.97</v>
      </c>
      <c r="AS9" s="16" t="s">
        <v>68</v>
      </c>
      <c r="AT9" s="34" t="str">
        <f t="shared" si="1"/>
        <v/>
      </c>
      <c r="AU9" s="16" t="s">
        <v>79</v>
      </c>
      <c r="AV9" s="34" t="str">
        <f t="shared" si="2"/>
        <v/>
      </c>
    </row>
    <row r="10" spans="1:48" x14ac:dyDescent="0.35">
      <c r="A10" s="11" t="s">
        <v>21</v>
      </c>
      <c r="B10" s="12" t="s">
        <v>90</v>
      </c>
      <c r="C10" s="3" t="s">
        <v>91</v>
      </c>
      <c r="D10" s="3" t="s">
        <v>47</v>
      </c>
      <c r="E10" s="3" t="s">
        <v>65</v>
      </c>
      <c r="F10" s="3"/>
      <c r="G10" s="9" t="s">
        <v>16</v>
      </c>
      <c r="H10" s="9" t="s">
        <v>16</v>
      </c>
      <c r="I10" s="9"/>
      <c r="J10" s="9"/>
      <c r="K10" s="9" t="s">
        <v>16</v>
      </c>
      <c r="L10" s="9" t="s">
        <v>16</v>
      </c>
      <c r="M10" s="9" t="s">
        <v>15</v>
      </c>
      <c r="N10" s="9" t="s">
        <v>15</v>
      </c>
      <c r="O10" s="9" t="s">
        <v>16</v>
      </c>
      <c r="P10" s="9"/>
      <c r="Q10" s="9"/>
      <c r="R10" s="9"/>
      <c r="S10" s="20">
        <v>100</v>
      </c>
      <c r="T10" s="19">
        <v>0</v>
      </c>
      <c r="U10" s="22">
        <v>0</v>
      </c>
      <c r="V10" s="20">
        <v>0</v>
      </c>
      <c r="W10" s="22">
        <v>0</v>
      </c>
      <c r="X10" s="20">
        <v>91</v>
      </c>
      <c r="Y10" s="22">
        <v>0.91</v>
      </c>
      <c r="Z10" s="20">
        <v>0</v>
      </c>
      <c r="AA10" s="22">
        <v>0</v>
      </c>
      <c r="AB10" s="20">
        <v>9</v>
      </c>
      <c r="AC10" s="22">
        <v>0.09</v>
      </c>
      <c r="AD10" s="20">
        <v>0</v>
      </c>
      <c r="AE10" s="22">
        <v>0</v>
      </c>
      <c r="AF10" s="17">
        <v>-344112</v>
      </c>
      <c r="AG10" s="17">
        <v>3890851</v>
      </c>
      <c r="AH10" s="18">
        <v>206170.45054945059</v>
      </c>
      <c r="AI10" s="18">
        <v>651493.90645993629</v>
      </c>
      <c r="AJ10" s="6">
        <v>40</v>
      </c>
      <c r="AK10" s="23">
        <v>0.4</v>
      </c>
      <c r="AL10" s="17">
        <v>0</v>
      </c>
      <c r="AM10" s="17">
        <v>52</v>
      </c>
      <c r="AN10" s="17">
        <v>0</v>
      </c>
      <c r="AO10" s="17">
        <v>0</v>
      </c>
      <c r="AP10" s="17">
        <v>23371.5</v>
      </c>
      <c r="AQ10" s="33" t="s">
        <v>67</v>
      </c>
      <c r="AR10" s="34" t="str">
        <f t="shared" si="0"/>
        <v/>
      </c>
      <c r="AS10" s="16" t="s">
        <v>68</v>
      </c>
      <c r="AT10" s="34" t="str">
        <f t="shared" si="1"/>
        <v/>
      </c>
      <c r="AU10" s="16" t="s">
        <v>79</v>
      </c>
      <c r="AV10" s="34" t="str">
        <f t="shared" si="2"/>
        <v/>
      </c>
    </row>
    <row r="11" spans="1:48" x14ac:dyDescent="0.35">
      <c r="A11" s="11" t="s">
        <v>21</v>
      </c>
      <c r="B11" s="12" t="s">
        <v>92</v>
      </c>
      <c r="C11" s="3" t="s">
        <v>93</v>
      </c>
      <c r="D11" s="3" t="s">
        <v>47</v>
      </c>
      <c r="E11" s="3" t="s">
        <v>65</v>
      </c>
      <c r="F11" s="3"/>
      <c r="G11" s="9" t="s">
        <v>16</v>
      </c>
      <c r="H11" s="9" t="s">
        <v>16</v>
      </c>
      <c r="I11" s="9"/>
      <c r="J11" s="9"/>
      <c r="K11" s="9" t="s">
        <v>16</v>
      </c>
      <c r="L11" s="9" t="s">
        <v>16</v>
      </c>
      <c r="M11" s="9" t="s">
        <v>15</v>
      </c>
      <c r="N11" s="9" t="s">
        <v>15</v>
      </c>
      <c r="O11" s="9" t="s">
        <v>16</v>
      </c>
      <c r="P11" s="9"/>
      <c r="Q11" s="9"/>
      <c r="R11" s="9"/>
      <c r="S11" s="20">
        <v>100</v>
      </c>
      <c r="T11" s="19">
        <v>0</v>
      </c>
      <c r="U11" s="22">
        <v>0</v>
      </c>
      <c r="V11" s="20">
        <v>0</v>
      </c>
      <c r="W11" s="22">
        <v>0</v>
      </c>
      <c r="X11" s="20">
        <v>81</v>
      </c>
      <c r="Y11" s="22">
        <v>0.81</v>
      </c>
      <c r="Z11" s="20">
        <v>0</v>
      </c>
      <c r="AA11" s="22">
        <v>0</v>
      </c>
      <c r="AB11" s="20">
        <v>19</v>
      </c>
      <c r="AC11" s="22">
        <v>0.19</v>
      </c>
      <c r="AD11" s="20">
        <v>0</v>
      </c>
      <c r="AE11" s="22">
        <v>0</v>
      </c>
      <c r="AF11" s="17">
        <v>-375005</v>
      </c>
      <c r="AG11" s="17">
        <v>3135227</v>
      </c>
      <c r="AH11" s="18">
        <v>125611.0617283951</v>
      </c>
      <c r="AI11" s="18">
        <v>431222.44221217622</v>
      </c>
      <c r="AJ11" s="6">
        <v>71</v>
      </c>
      <c r="AK11" s="23">
        <v>0.71</v>
      </c>
      <c r="AL11" s="17">
        <v>0</v>
      </c>
      <c r="AM11" s="17">
        <v>11</v>
      </c>
      <c r="AN11" s="17">
        <v>43</v>
      </c>
      <c r="AO11" s="17">
        <v>1468</v>
      </c>
      <c r="AP11" s="17">
        <v>45776</v>
      </c>
      <c r="AQ11" s="33" t="s">
        <v>67</v>
      </c>
      <c r="AR11" s="34" t="str">
        <f t="shared" si="0"/>
        <v/>
      </c>
      <c r="AS11" s="16" t="s">
        <v>68</v>
      </c>
      <c r="AT11" s="34" t="str">
        <f t="shared" si="1"/>
        <v/>
      </c>
      <c r="AU11" s="16" t="s">
        <v>79</v>
      </c>
      <c r="AV11" s="34" t="str">
        <f t="shared" si="2"/>
        <v/>
      </c>
    </row>
    <row r="12" spans="1:48" x14ac:dyDescent="0.35">
      <c r="A12" s="11" t="s">
        <v>21</v>
      </c>
      <c r="B12" s="12" t="s">
        <v>94</v>
      </c>
      <c r="C12" s="3" t="s">
        <v>95</v>
      </c>
      <c r="D12" s="3" t="s">
        <v>47</v>
      </c>
      <c r="E12" s="3" t="s">
        <v>65</v>
      </c>
      <c r="F12" s="3"/>
      <c r="G12" s="9" t="s">
        <v>16</v>
      </c>
      <c r="H12" s="9" t="s">
        <v>16</v>
      </c>
      <c r="I12" s="9"/>
      <c r="J12" s="9"/>
      <c r="K12" s="9" t="s">
        <v>16</v>
      </c>
      <c r="L12" s="9" t="s">
        <v>16</v>
      </c>
      <c r="M12" s="9" t="s">
        <v>15</v>
      </c>
      <c r="N12" s="9" t="s">
        <v>15</v>
      </c>
      <c r="O12" s="9" t="s">
        <v>16</v>
      </c>
      <c r="P12" s="9"/>
      <c r="Q12" s="9"/>
      <c r="R12" s="9"/>
      <c r="S12" s="20">
        <v>100</v>
      </c>
      <c r="T12" s="19">
        <v>0</v>
      </c>
      <c r="U12" s="22">
        <v>0</v>
      </c>
      <c r="V12" s="20">
        <v>0</v>
      </c>
      <c r="W12" s="22">
        <v>0</v>
      </c>
      <c r="X12" s="20">
        <v>91</v>
      </c>
      <c r="Y12" s="22">
        <v>0.91</v>
      </c>
      <c r="Z12" s="20">
        <v>0</v>
      </c>
      <c r="AA12" s="22">
        <v>0</v>
      </c>
      <c r="AB12" s="20">
        <v>9</v>
      </c>
      <c r="AC12" s="22">
        <v>0.09</v>
      </c>
      <c r="AD12" s="20">
        <v>0</v>
      </c>
      <c r="AE12" s="22">
        <v>0</v>
      </c>
      <c r="AF12" s="17">
        <v>-378854</v>
      </c>
      <c r="AG12" s="17">
        <v>4454317</v>
      </c>
      <c r="AH12" s="18">
        <v>201737.68131868131</v>
      </c>
      <c r="AI12" s="18">
        <v>665277.03813729412</v>
      </c>
      <c r="AJ12" s="6">
        <v>41</v>
      </c>
      <c r="AK12" s="23">
        <v>0.41</v>
      </c>
      <c r="AL12" s="17">
        <v>0</v>
      </c>
      <c r="AM12" s="17">
        <v>51</v>
      </c>
      <c r="AN12" s="17">
        <v>0</v>
      </c>
      <c r="AO12" s="17">
        <v>0</v>
      </c>
      <c r="AP12" s="17">
        <v>23371.5</v>
      </c>
      <c r="AQ12" s="33" t="s">
        <v>67</v>
      </c>
      <c r="AR12" s="34" t="str">
        <f t="shared" si="0"/>
        <v/>
      </c>
      <c r="AS12" s="16" t="s">
        <v>68</v>
      </c>
      <c r="AT12" s="34" t="str">
        <f t="shared" si="1"/>
        <v/>
      </c>
      <c r="AU12" s="16" t="s">
        <v>79</v>
      </c>
      <c r="AV12" s="34" t="str">
        <f t="shared" si="2"/>
        <v/>
      </c>
    </row>
    <row r="13" spans="1:48" x14ac:dyDescent="0.35">
      <c r="A13" s="11" t="s">
        <v>21</v>
      </c>
      <c r="B13" s="12" t="s">
        <v>96</v>
      </c>
      <c r="C13" s="3" t="s">
        <v>97</v>
      </c>
      <c r="D13" s="3" t="s">
        <v>47</v>
      </c>
      <c r="E13" s="3" t="s">
        <v>65</v>
      </c>
      <c r="F13" s="3"/>
      <c r="G13" s="9" t="s">
        <v>16</v>
      </c>
      <c r="H13" s="9" t="s">
        <v>16</v>
      </c>
      <c r="I13" s="9"/>
      <c r="J13" s="9"/>
      <c r="K13" s="9" t="s">
        <v>16</v>
      </c>
      <c r="L13" s="9" t="s">
        <v>16</v>
      </c>
      <c r="M13" s="9" t="s">
        <v>15</v>
      </c>
      <c r="N13" s="9" t="s">
        <v>15</v>
      </c>
      <c r="O13" s="9" t="s">
        <v>16</v>
      </c>
      <c r="P13" s="9"/>
      <c r="Q13" s="9"/>
      <c r="R13" s="9"/>
      <c r="S13" s="20">
        <v>100</v>
      </c>
      <c r="T13" s="19">
        <v>0</v>
      </c>
      <c r="U13" s="22">
        <v>0</v>
      </c>
      <c r="V13" s="20">
        <v>0</v>
      </c>
      <c r="W13" s="22">
        <v>0</v>
      </c>
      <c r="X13" s="20">
        <v>93</v>
      </c>
      <c r="Y13" s="22">
        <v>0.93</v>
      </c>
      <c r="Z13" s="20">
        <v>0</v>
      </c>
      <c r="AA13" s="22">
        <v>0</v>
      </c>
      <c r="AB13" s="20">
        <v>7</v>
      </c>
      <c r="AC13" s="22">
        <v>7.0000000000000007E-2</v>
      </c>
      <c r="AD13" s="20">
        <v>0</v>
      </c>
      <c r="AE13" s="22">
        <v>0</v>
      </c>
      <c r="AF13" s="17">
        <v>-4864</v>
      </c>
      <c r="AG13" s="17">
        <v>2434212</v>
      </c>
      <c r="AH13" s="18">
        <v>99492.580645161288</v>
      </c>
      <c r="AI13" s="18">
        <v>334093.69048225152</v>
      </c>
      <c r="AJ13" s="6">
        <v>34</v>
      </c>
      <c r="AK13" s="23">
        <v>0.34</v>
      </c>
      <c r="AL13" s="17">
        <v>0</v>
      </c>
      <c r="AM13" s="17">
        <v>60</v>
      </c>
      <c r="AN13" s="17">
        <v>0</v>
      </c>
      <c r="AO13" s="17">
        <v>0</v>
      </c>
      <c r="AP13" s="17">
        <v>717</v>
      </c>
      <c r="AQ13" s="33" t="s">
        <v>67</v>
      </c>
      <c r="AR13" s="34" t="str">
        <f t="shared" si="0"/>
        <v/>
      </c>
      <c r="AS13" s="16" t="s">
        <v>68</v>
      </c>
      <c r="AT13" s="34" t="str">
        <f t="shared" si="1"/>
        <v/>
      </c>
      <c r="AU13" s="16" t="s">
        <v>79</v>
      </c>
      <c r="AV13" s="34" t="str">
        <f t="shared" si="2"/>
        <v/>
      </c>
    </row>
    <row r="14" spans="1:48" x14ac:dyDescent="0.35">
      <c r="A14" s="11" t="s">
        <v>21</v>
      </c>
      <c r="B14" s="12" t="s">
        <v>98</v>
      </c>
      <c r="C14" s="3" t="s">
        <v>99</v>
      </c>
      <c r="D14" s="3" t="s">
        <v>47</v>
      </c>
      <c r="E14" s="3" t="s">
        <v>65</v>
      </c>
      <c r="F14" s="3"/>
      <c r="G14" s="9" t="s">
        <v>16</v>
      </c>
      <c r="H14" s="9" t="s">
        <v>16</v>
      </c>
      <c r="I14" s="9"/>
      <c r="J14" s="9"/>
      <c r="K14" s="9" t="s">
        <v>16</v>
      </c>
      <c r="L14" s="9" t="s">
        <v>16</v>
      </c>
      <c r="M14" s="9" t="s">
        <v>15</v>
      </c>
      <c r="N14" s="9" t="s">
        <v>15</v>
      </c>
      <c r="O14" s="9" t="s">
        <v>16</v>
      </c>
      <c r="P14" s="9"/>
      <c r="Q14" s="9"/>
      <c r="R14" s="9"/>
      <c r="S14" s="20">
        <v>100</v>
      </c>
      <c r="T14" s="19">
        <v>0</v>
      </c>
      <c r="U14" s="22">
        <v>0</v>
      </c>
      <c r="V14" s="20">
        <v>0</v>
      </c>
      <c r="W14" s="22">
        <v>0</v>
      </c>
      <c r="X14" s="20">
        <v>81</v>
      </c>
      <c r="Y14" s="22">
        <v>0.81</v>
      </c>
      <c r="Z14" s="20">
        <v>0</v>
      </c>
      <c r="AA14" s="22">
        <v>0</v>
      </c>
      <c r="AB14" s="20">
        <v>19</v>
      </c>
      <c r="AC14" s="22">
        <v>0.19</v>
      </c>
      <c r="AD14" s="20">
        <v>0</v>
      </c>
      <c r="AE14" s="22">
        <v>0</v>
      </c>
      <c r="AF14" s="17">
        <v>-5422</v>
      </c>
      <c r="AG14" s="17">
        <v>2661607</v>
      </c>
      <c r="AH14" s="18">
        <v>108689.1358024691</v>
      </c>
      <c r="AI14" s="18">
        <v>355778.00908479968</v>
      </c>
      <c r="AJ14" s="6">
        <v>62</v>
      </c>
      <c r="AK14" s="23">
        <v>0.62</v>
      </c>
      <c r="AL14" s="17">
        <v>0</v>
      </c>
      <c r="AM14" s="17">
        <v>18</v>
      </c>
      <c r="AN14" s="17">
        <v>0</v>
      </c>
      <c r="AO14" s="17">
        <v>413</v>
      </c>
      <c r="AP14" s="17">
        <v>9580</v>
      </c>
      <c r="AQ14" s="33" t="s">
        <v>67</v>
      </c>
      <c r="AR14" s="34" t="str">
        <f t="shared" si="0"/>
        <v/>
      </c>
      <c r="AS14" s="16" t="s">
        <v>68</v>
      </c>
      <c r="AT14" s="34" t="str">
        <f t="shared" si="1"/>
        <v/>
      </c>
      <c r="AU14" s="16" t="s">
        <v>79</v>
      </c>
      <c r="AV14" s="34" t="str">
        <f t="shared" si="2"/>
        <v/>
      </c>
    </row>
    <row r="15" spans="1:48" x14ac:dyDescent="0.35">
      <c r="A15" s="11" t="s">
        <v>21</v>
      </c>
      <c r="B15" s="12" t="s">
        <v>100</v>
      </c>
      <c r="C15" s="3" t="s">
        <v>101</v>
      </c>
      <c r="D15" s="3" t="s">
        <v>47</v>
      </c>
      <c r="E15" s="3" t="s">
        <v>65</v>
      </c>
      <c r="F15" s="3"/>
      <c r="G15" s="9" t="s">
        <v>16</v>
      </c>
      <c r="H15" s="9" t="s">
        <v>16</v>
      </c>
      <c r="I15" s="9"/>
      <c r="J15" s="9"/>
      <c r="K15" s="9" t="s">
        <v>16</v>
      </c>
      <c r="L15" s="9" t="s">
        <v>16</v>
      </c>
      <c r="M15" s="9" t="s">
        <v>15</v>
      </c>
      <c r="N15" s="9" t="s">
        <v>15</v>
      </c>
      <c r="O15" s="9" t="s">
        <v>16</v>
      </c>
      <c r="P15" s="9"/>
      <c r="Q15" s="9"/>
      <c r="R15" s="9"/>
      <c r="S15" s="20">
        <v>100</v>
      </c>
      <c r="T15" s="19">
        <v>0</v>
      </c>
      <c r="U15" s="22">
        <v>0</v>
      </c>
      <c r="V15" s="20">
        <v>0</v>
      </c>
      <c r="W15" s="22">
        <v>0</v>
      </c>
      <c r="X15" s="20">
        <v>83</v>
      </c>
      <c r="Y15" s="22">
        <v>0.83</v>
      </c>
      <c r="Z15" s="20">
        <v>0</v>
      </c>
      <c r="AA15" s="22">
        <v>0</v>
      </c>
      <c r="AB15" s="20">
        <v>17</v>
      </c>
      <c r="AC15" s="22">
        <v>0.17</v>
      </c>
      <c r="AD15" s="20">
        <v>0</v>
      </c>
      <c r="AE15" s="22">
        <v>0</v>
      </c>
      <c r="AF15" s="17">
        <v>-823991</v>
      </c>
      <c r="AG15" s="17">
        <v>909600</v>
      </c>
      <c r="AH15" s="18">
        <v>32197</v>
      </c>
      <c r="AI15" s="18">
        <v>171185.5728616626</v>
      </c>
      <c r="AJ15" s="6">
        <v>68</v>
      </c>
      <c r="AK15" s="23">
        <v>0.68</v>
      </c>
      <c r="AL15" s="17">
        <v>0</v>
      </c>
      <c r="AM15" s="17">
        <v>14</v>
      </c>
      <c r="AN15" s="17">
        <v>0</v>
      </c>
      <c r="AO15" s="17">
        <v>144</v>
      </c>
      <c r="AP15" s="17">
        <v>4102.5</v>
      </c>
      <c r="AQ15" s="33" t="s">
        <v>67</v>
      </c>
      <c r="AR15" s="34" t="str">
        <f t="shared" si="0"/>
        <v/>
      </c>
      <c r="AS15" s="16" t="s">
        <v>68</v>
      </c>
      <c r="AT15" s="34" t="str">
        <f t="shared" si="1"/>
        <v/>
      </c>
      <c r="AU15" s="16" t="s">
        <v>79</v>
      </c>
      <c r="AV15" s="34" t="str">
        <f t="shared" si="2"/>
        <v/>
      </c>
    </row>
  </sheetData>
  <mergeCells count="13">
    <mergeCell ref="AJ2:AK2"/>
    <mergeCell ref="A1:B1"/>
    <mergeCell ref="AQ2:AR2"/>
    <mergeCell ref="AU2:AV2"/>
    <mergeCell ref="AS2:AT2"/>
    <mergeCell ref="V2:W2"/>
    <mergeCell ref="T2:U2"/>
    <mergeCell ref="Z2:AA2"/>
    <mergeCell ref="G1:R1"/>
    <mergeCell ref="X2:Y2"/>
    <mergeCell ref="T1:AE1"/>
    <mergeCell ref="AB2:AC2"/>
    <mergeCell ref="AD2:AE2"/>
  </mergeCells>
  <conditionalFormatting sqref="U3:U15">
    <cfRule type="cellIs" dxfId="20" priority="15" operator="greaterThan">
      <formula>0</formula>
    </cfRule>
  </conditionalFormatting>
  <conditionalFormatting sqref="Y3:Y15">
    <cfRule type="cellIs" dxfId="19" priority="14" operator="greaterThan">
      <formula>0</formula>
    </cfRule>
  </conditionalFormatting>
  <conditionalFormatting sqref="AA3:AA15">
    <cfRule type="cellIs" dxfId="18" priority="13" operator="greaterThan">
      <formula>0</formula>
    </cfRule>
  </conditionalFormatting>
  <conditionalFormatting sqref="AC3:AC15">
    <cfRule type="cellIs" dxfId="17" priority="12" operator="greaterThan">
      <formula>0</formula>
    </cfRule>
  </conditionalFormatting>
  <conditionalFormatting sqref="AE3:AE15">
    <cfRule type="cellIs" dxfId="16" priority="11" operator="greaterThan">
      <formula>0</formula>
    </cfRule>
  </conditionalFormatting>
  <conditionalFormatting sqref="AH3:AI15">
    <cfRule type="cellIs" dxfId="15" priority="20" operator="equal">
      <formula>"no number"</formula>
    </cfRule>
  </conditionalFormatting>
  <conditionalFormatting sqref="AK3:AK15">
    <cfRule type="cellIs" dxfId="14" priority="10" operator="greaterThan">
      <formula>0</formula>
    </cfRule>
  </conditionalFormatting>
  <conditionalFormatting sqref="AN3:AP15">
    <cfRule type="cellIs" dxfId="13" priority="19" operator="equal">
      <formula>"no value"</formula>
    </cfRule>
  </conditionalFormatting>
  <conditionalFormatting sqref="AQ3:AQ15">
    <cfRule type="cellIs" dxfId="12" priority="26" operator="equal">
      <formula>"no format"</formula>
    </cfRule>
  </conditionalFormatting>
  <conditionalFormatting sqref="AQ3:AQ15 AS3:AS15 AU3:AU15">
    <cfRule type="cellIs" dxfId="11" priority="16" operator="equal">
      <formula>"err"</formula>
    </cfRule>
  </conditionalFormatting>
  <conditionalFormatting sqref="AS3:AS15">
    <cfRule type="cellIs" dxfId="10" priority="25" operator="equal">
      <formula>"no list"</formula>
    </cfRule>
  </conditionalFormatting>
  <conditionalFormatting sqref="AU3:AU15">
    <cfRule type="cellIs" dxfId="9" priority="9" operator="equal">
      <formula>"no number"</formula>
    </cfRule>
    <cfRule type="cellIs" dxfId="8" priority="23" operator="equal">
      <formula>"no range"</formula>
    </cfRule>
  </conditionalFormatting>
  <conditionalFormatting sqref="AR3:AR15">
    <cfRule type="cellIs" dxfId="5" priority="6" operator="equal">
      <formula>"no format"</formula>
    </cfRule>
  </conditionalFormatting>
  <conditionalFormatting sqref="AR3:AR15">
    <cfRule type="cellIs" dxfId="4" priority="5" operator="equal">
      <formula>"err"</formula>
    </cfRule>
  </conditionalFormatting>
  <conditionalFormatting sqref="AT3:AT15">
    <cfRule type="cellIs" dxfId="3" priority="4" operator="equal">
      <formula>"no format"</formula>
    </cfRule>
  </conditionalFormatting>
  <conditionalFormatting sqref="AT3:AT15">
    <cfRule type="cellIs" dxfId="2" priority="3" operator="equal">
      <formula>"err"</formula>
    </cfRule>
  </conditionalFormatting>
  <conditionalFormatting sqref="AV3:AV15">
    <cfRule type="cellIs" dxfId="1" priority="2" operator="equal">
      <formula>"no format"</formula>
    </cfRule>
  </conditionalFormatting>
  <conditionalFormatting sqref="AV3:AV15">
    <cfRule type="cellIs" dxfId="0" priority="1" operator="equal">
      <formula>"err"</formula>
    </cfRule>
  </conditionalFormatting>
  <dataValidations count="1">
    <dataValidation type="list" allowBlank="1" showInputMessage="1" showErrorMessage="1" sqref="G3:H15 K3:O15" xr:uid="{00000000-0002-0000-0100-000000000000}">
      <formula1>"yes,no"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Ribeiro</cp:lastModifiedBy>
  <dcterms:created xsi:type="dcterms:W3CDTF">2025-11-10T19:13:48Z</dcterms:created>
  <dcterms:modified xsi:type="dcterms:W3CDTF">2025-11-20T02:58:33Z</dcterms:modified>
</cp:coreProperties>
</file>